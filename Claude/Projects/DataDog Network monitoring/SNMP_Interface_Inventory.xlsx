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orestcitytrading-my.sharepoint.com/personal/charles_littlefield_sifp_com/Documents/Documents/Claude/Projects/DataDog Network monitoring/"/>
    </mc:Choice>
  </mc:AlternateContent>
  <xr:revisionPtr revIDLastSave="117" documentId="11_580B9B3F22CFED5021F2A8CBA1D4618F8EDECDBC" xr6:coauthVersionLast="47" xr6:coauthVersionMax="47" xr10:uidLastSave="{FA1D4D9F-C534-4D1E-98B5-04DC6F3DABB2}"/>
  <bookViews>
    <workbookView xWindow="-120" yWindow="-120" windowWidth="29040" windowHeight="15720" firstSheet="4" activeTab="11" xr2:uid="{00000000-000D-0000-FFFF-FFFF00000000}"/>
  </bookViews>
  <sheets>
    <sheet name="DC - 10.1.1.1" sheetId="1" r:id="rId1"/>
    <sheet name="HQ - 10.0.1.1" sheetId="2" r:id="rId2"/>
    <sheet name="AIFP - 10.4.1.1" sheetId="3" r:id="rId3"/>
    <sheet name="ARL - 10.75.7.254" sheetId="4" r:id="rId4"/>
    <sheet name="BIFP - 10.8.1.1" sheetId="5" r:id="rId5"/>
    <sheet name="BP - 10.10.1.111" sheetId="6" r:id="rId6"/>
    <sheet name="OI - 10.18.1.254" sheetId="7" r:id="rId7"/>
    <sheet name="VFP - 10.26.1.1" sheetId="8" r:id="rId8"/>
    <sheet name="RIFP - 10.28.1.111" sheetId="9" r:id="rId9"/>
    <sheet name="SMT - 10.14.1.2" sheetId="10" r:id="rId10"/>
    <sheet name="TIFP - 10.20.1.18" sheetId="11" r:id="rId11"/>
    <sheet name="PFP - 10.24.10.1" sheetId="12" r:id="rId12"/>
  </sheets>
  <definedNames>
    <definedName name="_xlnm._FilterDatabase" localSheetId="2" hidden="1">'AIFP - 10.4.1.1'!$A$2:$N$2</definedName>
    <definedName name="_xlnm._FilterDatabase" localSheetId="3" hidden="1">'ARL - 10.75.7.254'!$A$2:$N$2</definedName>
    <definedName name="_xlnm._FilterDatabase" localSheetId="4" hidden="1">'BIFP - 10.8.1.1'!$A$2:$N$23</definedName>
    <definedName name="_xlnm._FilterDatabase" localSheetId="5" hidden="1">'BP - 10.10.1.111'!$A$2:$N$2</definedName>
    <definedName name="_xlnm._FilterDatabase" localSheetId="0" hidden="1">'DC - 10.1.1.1'!$A$2:$N$2</definedName>
    <definedName name="_xlnm._FilterDatabase" localSheetId="1" hidden="1">'HQ - 10.0.1.1'!$A$2:$N$2</definedName>
    <definedName name="_xlnm._FilterDatabase" localSheetId="6" hidden="1">'OI - 10.18.1.254'!$A$2:$N$2</definedName>
    <definedName name="_xlnm._FilterDatabase" localSheetId="11" hidden="1">'PFP - 10.24.10.1'!$A$2:$N$2</definedName>
    <definedName name="_xlnm._FilterDatabase" localSheetId="8" hidden="1">'RIFP - 10.28.1.111'!$A$2:$N$2</definedName>
    <definedName name="_xlnm._FilterDatabase" localSheetId="9" hidden="1">'SMT - 10.14.1.2'!$A$2:$N$2</definedName>
    <definedName name="_xlnm._FilterDatabase" localSheetId="10" hidden="1">'TIFP - 10.20.1.18'!$A$2:$N$2</definedName>
    <definedName name="_xlnm._FilterDatabase" localSheetId="7" hidden="1">'VFP - 10.26.1.1'!$A$2:$N$2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1" l="1"/>
  <c r="J5" i="11"/>
  <c r="J6" i="11"/>
  <c r="J7" i="11"/>
  <c r="J8" i="11"/>
  <c r="J9" i="11"/>
  <c r="J10" i="11"/>
  <c r="J11" i="11"/>
  <c r="J12" i="11"/>
  <c r="J13" i="11"/>
  <c r="J14" i="11"/>
  <c r="I3" i="11"/>
  <c r="I4" i="11"/>
  <c r="I5" i="11"/>
  <c r="I6" i="11"/>
  <c r="I7" i="11"/>
  <c r="I8" i="11"/>
  <c r="I9" i="11"/>
  <c r="I10" i="11"/>
  <c r="I11" i="11"/>
  <c r="I12" i="11"/>
  <c r="I13" i="11"/>
  <c r="I14" i="11"/>
  <c r="L10" i="12"/>
  <c r="K10" i="12"/>
  <c r="L9" i="12"/>
  <c r="K9" i="12"/>
  <c r="L8" i="12"/>
  <c r="K8" i="12"/>
  <c r="L7" i="12"/>
  <c r="K7" i="12"/>
  <c r="L6" i="12"/>
  <c r="K6" i="12"/>
  <c r="L5" i="12"/>
  <c r="K5" i="12"/>
  <c r="L3" i="12"/>
  <c r="K3" i="12"/>
  <c r="L12" i="10"/>
  <c r="K12" i="10"/>
  <c r="L11" i="10"/>
  <c r="K11" i="10"/>
  <c r="L10" i="10"/>
  <c r="K10" i="10"/>
  <c r="L9" i="10"/>
  <c r="K9" i="10"/>
  <c r="L8" i="10"/>
  <c r="K8" i="10"/>
  <c r="L7" i="10"/>
  <c r="K7" i="10"/>
  <c r="L6" i="10"/>
  <c r="K6" i="10"/>
  <c r="L5" i="10"/>
  <c r="K5" i="10"/>
  <c r="L4" i="10"/>
  <c r="K4" i="10"/>
  <c r="L3" i="10"/>
  <c r="K3" i="10"/>
  <c r="L12" i="9"/>
  <c r="K12" i="9"/>
  <c r="L11" i="9"/>
  <c r="K11" i="9"/>
  <c r="L10" i="9"/>
  <c r="K10" i="9"/>
  <c r="L9" i="9"/>
  <c r="K9" i="9"/>
  <c r="L8" i="9"/>
  <c r="K8" i="9"/>
  <c r="L7" i="9"/>
  <c r="K7" i="9"/>
  <c r="L6" i="9"/>
  <c r="K6" i="9"/>
  <c r="L5" i="9"/>
  <c r="K5" i="9"/>
  <c r="L4" i="9"/>
  <c r="K4" i="9"/>
  <c r="L3" i="9"/>
  <c r="K3" i="9"/>
  <c r="L11" i="8"/>
  <c r="K11" i="8"/>
  <c r="L10" i="8"/>
  <c r="K10" i="8"/>
  <c r="L9" i="8"/>
  <c r="K9" i="8"/>
  <c r="L8" i="8"/>
  <c r="K8" i="8"/>
  <c r="L7" i="8"/>
  <c r="K7" i="8"/>
  <c r="L6" i="8"/>
  <c r="K6" i="8"/>
  <c r="L5" i="8"/>
  <c r="K5" i="8"/>
  <c r="L4" i="8"/>
  <c r="K4" i="8"/>
  <c r="L3" i="8"/>
  <c r="K3" i="8"/>
  <c r="L10" i="7"/>
  <c r="K10" i="7"/>
  <c r="L9" i="7"/>
  <c r="K9" i="7"/>
  <c r="L8" i="7"/>
  <c r="K8" i="7"/>
  <c r="L7" i="7"/>
  <c r="K7" i="7"/>
  <c r="L6" i="7"/>
  <c r="K6" i="7"/>
  <c r="L5" i="7"/>
  <c r="K5" i="7"/>
  <c r="L4" i="7"/>
  <c r="K4" i="7"/>
  <c r="L3" i="7"/>
  <c r="K3" i="7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L4" i="5"/>
  <c r="K4" i="5"/>
  <c r="L3" i="5"/>
  <c r="K3" i="5"/>
  <c r="L10" i="4"/>
  <c r="K10" i="4"/>
  <c r="L9" i="4"/>
  <c r="K9" i="4"/>
  <c r="L8" i="4"/>
  <c r="K8" i="4"/>
  <c r="L7" i="4"/>
  <c r="K7" i="4"/>
  <c r="L6" i="4"/>
  <c r="K6" i="4"/>
  <c r="L5" i="4"/>
  <c r="K5" i="4"/>
  <c r="L4" i="4"/>
  <c r="K4" i="4"/>
  <c r="L3" i="4"/>
  <c r="K3" i="4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L4" i="3"/>
  <c r="K4" i="3"/>
  <c r="L3" i="3"/>
  <c r="K3" i="3"/>
  <c r="L5" i="2"/>
  <c r="K5" i="2"/>
  <c r="L4" i="2"/>
  <c r="K4" i="2"/>
  <c r="L3" i="2"/>
  <c r="K3" i="2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J4" i="11"/>
</calcChain>
</file>

<file path=xl/sharedStrings.xml><?xml version="1.0" encoding="utf-8"?>
<sst xmlns="http://schemas.openxmlformats.org/spreadsheetml/2006/main" count="1720" uniqueCount="268">
  <si>
    <t>Site</t>
  </si>
  <si>
    <t>DC</t>
  </si>
  <si>
    <t>IP Address</t>
  </si>
  <si>
    <t>10.1.1.1</t>
  </si>
  <si>
    <t>SNMP Version</t>
  </si>
  <si>
    <t>v2c</t>
  </si>
  <si>
    <t>Auth / Community</t>
  </si>
  <si>
    <t>FCTGDC-RO</t>
  </si>
  <si>
    <t>Match Field</t>
  </si>
  <si>
    <t>Match Value</t>
  </si>
  <si>
    <t>Interface Zone</t>
  </si>
  <si>
    <t>Interface Function</t>
  </si>
  <si>
    <t>Interface Rank</t>
  </si>
  <si>
    <t>Criticality</t>
  </si>
  <si>
    <t>Trusted</t>
  </si>
  <si>
    <t>Provider</t>
  </si>
  <si>
    <t>In Speed (bps)</t>
  </si>
  <si>
    <t>Out Speed (bps)</t>
  </si>
  <si>
    <t>In Speed (Mbps)</t>
  </si>
  <si>
    <t>Out Speed (Mbps)</t>
  </si>
  <si>
    <t>Friendly Name</t>
  </si>
  <si>
    <t>VPN Destination</t>
  </si>
  <si>
    <t>name</t>
  </si>
  <si>
    <t>port14</t>
  </si>
  <si>
    <t>WAN</t>
  </si>
  <si>
    <t>SDWAN</t>
  </si>
  <si>
    <t>Primary</t>
  </si>
  <si>
    <t>Critical</t>
  </si>
  <si>
    <t>False</t>
  </si>
  <si>
    <t>Ziply</t>
  </si>
  <si>
    <t>port13</t>
  </si>
  <si>
    <t>Secondary</t>
  </si>
  <si>
    <t>Comcast</t>
  </si>
  <si>
    <t>port16</t>
  </si>
  <si>
    <t>ENS</t>
  </si>
  <si>
    <t>Tertiary</t>
  </si>
  <si>
    <t>index</t>
  </si>
  <si>
    <t>35</t>
  </si>
  <si>
    <t>VPN</t>
  </si>
  <si>
    <t>IPSECVPN</t>
  </si>
  <si>
    <t>OPUS-FCTG</t>
  </si>
  <si>
    <t>FCTG</t>
  </si>
  <si>
    <t>59</t>
  </si>
  <si>
    <t>True</t>
  </si>
  <si>
    <t>OPUS_to_SIFP</t>
  </si>
  <si>
    <t>SIFP</t>
  </si>
  <si>
    <t>51</t>
  </si>
  <si>
    <t>OPUS_to_BIFP</t>
  </si>
  <si>
    <t>BIFP</t>
  </si>
  <si>
    <t>63</t>
  </si>
  <si>
    <t>OPUS_to_TIFP</t>
  </si>
  <si>
    <t>TIFP</t>
  </si>
  <si>
    <t>47</t>
  </si>
  <si>
    <t>OPUS_to_AIFP</t>
  </si>
  <si>
    <t>AIFP</t>
  </si>
  <si>
    <t>65</t>
  </si>
  <si>
    <t>OPUS_to_VFP</t>
  </si>
  <si>
    <t>VFP</t>
  </si>
  <si>
    <t>45</t>
  </si>
  <si>
    <t>OPUS_to_PFP_2nd</t>
  </si>
  <si>
    <t>PFP</t>
  </si>
  <si>
    <t>53</t>
  </si>
  <si>
    <t>OPUS_to_BP</t>
  </si>
  <si>
    <t>BP</t>
  </si>
  <si>
    <t>55</t>
  </si>
  <si>
    <t>OPUS_to_OI</t>
  </si>
  <si>
    <t>OI</t>
  </si>
  <si>
    <t>57</t>
  </si>
  <si>
    <t>OPUS_to_RIFP</t>
  </si>
  <si>
    <t>RIFP</t>
  </si>
  <si>
    <t>61</t>
  </si>
  <si>
    <t>OPUS_to_SMT</t>
  </si>
  <si>
    <t>SMT</t>
  </si>
  <si>
    <t>49</t>
  </si>
  <si>
    <t>OPUS_to_AR</t>
  </si>
  <si>
    <t>AR</t>
  </si>
  <si>
    <t>36</t>
  </si>
  <si>
    <t>OPUS-Azure</t>
  </si>
  <si>
    <t>Azure</t>
  </si>
  <si>
    <t>68</t>
  </si>
  <si>
    <t>Non-Critical</t>
  </si>
  <si>
    <t>OPUS_to_FC_East</t>
  </si>
  <si>
    <t>60</t>
  </si>
  <si>
    <t>OPUS_to_SIFP_2</t>
  </si>
  <si>
    <t>52</t>
  </si>
  <si>
    <t>OPUS_to_BIFP_2</t>
  </si>
  <si>
    <t>64</t>
  </si>
  <si>
    <t>OPUS_to_TIFP_2</t>
  </si>
  <si>
    <t>48</t>
  </si>
  <si>
    <t>OPUS_to_AIFP_2</t>
  </si>
  <si>
    <t>66</t>
  </si>
  <si>
    <t>OPUS_to_VFP_2</t>
  </si>
  <si>
    <t>46</t>
  </si>
  <si>
    <t>OPUS_to_PFP</t>
  </si>
  <si>
    <t>54</t>
  </si>
  <si>
    <t>OPUS_to_BP_2</t>
  </si>
  <si>
    <t>56</t>
  </si>
  <si>
    <t>OPUS_to_OI_2</t>
  </si>
  <si>
    <t>58</t>
  </si>
  <si>
    <t>OPUS_to_RIFP_2</t>
  </si>
  <si>
    <t>62</t>
  </si>
  <si>
    <t>OPUS_to_SMT_2</t>
  </si>
  <si>
    <t>50</t>
  </si>
  <si>
    <t>OPUS_to_AR_2</t>
  </si>
  <si>
    <t>69</t>
  </si>
  <si>
    <t>OPUS-FCTG_2</t>
  </si>
  <si>
    <t>HQ</t>
  </si>
  <si>
    <t>10.0.1.1</t>
  </si>
  <si>
    <t>FCTGHQ-RO</t>
  </si>
  <si>
    <t>wan1</t>
  </si>
  <si>
    <t>Allstream</t>
  </si>
  <si>
    <t>wan2</t>
  </si>
  <si>
    <t>port2</t>
  </si>
  <si>
    <t>10.4.1.1</t>
  </si>
  <si>
    <t>v3</t>
  </si>
  <si>
    <t>DataDog</t>
  </si>
  <si>
    <t>port3</t>
  </si>
  <si>
    <t>Internet</t>
  </si>
  <si>
    <t>AIFP_FCTG_OPUS1</t>
  </si>
  <si>
    <t>Opus</t>
  </si>
  <si>
    <t>AIFP_FCTG_OPUS2</t>
  </si>
  <si>
    <t>34</t>
  </si>
  <si>
    <t>AIFP_to_Azure</t>
  </si>
  <si>
    <t>AIFP_to_Azure_2</t>
  </si>
  <si>
    <t>140</t>
  </si>
  <si>
    <t>BP-AIFP</t>
  </si>
  <si>
    <t>BP-AIFP2</t>
  </si>
  <si>
    <t>AIFP_to_ARL</t>
  </si>
  <si>
    <t>AIFP_To_ARL2</t>
  </si>
  <si>
    <t>ARL</t>
  </si>
  <si>
    <t>10.75.7.254</t>
  </si>
  <si>
    <t>ARL_To_Aifp_2</t>
  </si>
  <si>
    <t>AR_To_Opus_2</t>
  </si>
  <si>
    <t>AR_To_Opus</t>
  </si>
  <si>
    <t>Ar_To_FCTG_2</t>
  </si>
  <si>
    <t>AR_to_FCTG</t>
  </si>
  <si>
    <t>10.8.1.1</t>
  </si>
  <si>
    <t>port6</t>
  </si>
  <si>
    <t>Spectrum</t>
  </si>
  <si>
    <t>Spectrum_Cable</t>
  </si>
  <si>
    <t>ATT</t>
  </si>
  <si>
    <t>BIFP_to_Azure</t>
  </si>
  <si>
    <t>148</t>
  </si>
  <si>
    <t>BIFP_to_Azure_2</t>
  </si>
  <si>
    <t>BIFP_to_Opus</t>
  </si>
  <si>
    <t>BIFP_to_Opus2</t>
  </si>
  <si>
    <t>153</t>
  </si>
  <si>
    <t>BIFP_to_RIFP</t>
  </si>
  <si>
    <t>149</t>
  </si>
  <si>
    <t>BIFP_to_SIFP</t>
  </si>
  <si>
    <t>150</t>
  </si>
  <si>
    <t>BIFP_to_SMT</t>
  </si>
  <si>
    <t>72</t>
  </si>
  <si>
    <t>BIFP_to_SMT2</t>
  </si>
  <si>
    <t>151</t>
  </si>
  <si>
    <t>BIFP_to_TIFP</t>
  </si>
  <si>
    <t>70</t>
  </si>
  <si>
    <t>BIFP_to_TIFP2</t>
  </si>
  <si>
    <t>152</t>
  </si>
  <si>
    <t>BIFP_to_VFP</t>
  </si>
  <si>
    <t>43</t>
  </si>
  <si>
    <t>BIFP_to_VFP_2</t>
  </si>
  <si>
    <t>146</t>
  </si>
  <si>
    <t>BIFP_to_BP</t>
  </si>
  <si>
    <t>BIFP_to_BP2</t>
  </si>
  <si>
    <t>12</t>
  </si>
  <si>
    <t>BIFP_to_FCTG</t>
  </si>
  <si>
    <t>BIFP_to_FCTG2</t>
  </si>
  <si>
    <t>71</t>
  </si>
  <si>
    <t>BIFP_to_RIFP2</t>
  </si>
  <si>
    <t>BIFP_to_SIFP_2</t>
  </si>
  <si>
    <t>10.10.1.111</t>
  </si>
  <si>
    <t>Unknown</t>
  </si>
  <si>
    <t>42</t>
  </si>
  <si>
    <t>BP_to_VFP2</t>
  </si>
  <si>
    <t>40</t>
  </si>
  <si>
    <t>BP_to_Azure</t>
  </si>
  <si>
    <t>41</t>
  </si>
  <si>
    <t>BP_to_Azure_2</t>
  </si>
  <si>
    <t>BP_to_Opus2</t>
  </si>
  <si>
    <t>147</t>
  </si>
  <si>
    <t>142</t>
  </si>
  <si>
    <t>BP-BIFP</t>
  </si>
  <si>
    <t>BP-BIFP-2</t>
  </si>
  <si>
    <t>BP-FCTG</t>
  </si>
  <si>
    <t>44</t>
  </si>
  <si>
    <t>BP-FCTG2</t>
  </si>
  <si>
    <t>BP-OI</t>
  </si>
  <si>
    <t>BP-OI2</t>
  </si>
  <si>
    <t>BP-RIFP</t>
  </si>
  <si>
    <t>BP-RIFP2</t>
  </si>
  <si>
    <t>143</t>
  </si>
  <si>
    <t>BP-SIFP</t>
  </si>
  <si>
    <t>BP-SIFP2</t>
  </si>
  <si>
    <t>144</t>
  </si>
  <si>
    <t>BP-SMT</t>
  </si>
  <si>
    <t>BP-SMT2</t>
  </si>
  <si>
    <t>BP-TIFP</t>
  </si>
  <si>
    <t>BP-TIFP-2</t>
  </si>
  <si>
    <t>145</t>
  </si>
  <si>
    <t>BP-VFP</t>
  </si>
  <si>
    <t>10.18.1.254</t>
  </si>
  <si>
    <t>Shaw</t>
  </si>
  <si>
    <t>Telus</t>
  </si>
  <si>
    <t>BP_to_OI_Ipsec2</t>
  </si>
  <si>
    <t>Opus_to_OI</t>
  </si>
  <si>
    <t>Opus_to_OI_2</t>
  </si>
  <si>
    <t>OIToAzure2</t>
  </si>
  <si>
    <t>137</t>
  </si>
  <si>
    <t>BP_to_OI_Ipsec</t>
  </si>
  <si>
    <t>138</t>
  </si>
  <si>
    <t>OI_2_Azure</t>
  </si>
  <si>
    <t>10.26.1.1</t>
  </si>
  <si>
    <t>VFP2_t0_Azure</t>
  </si>
  <si>
    <t>BIFP-VFP2</t>
  </si>
  <si>
    <t>FTCG-VFP2</t>
  </si>
  <si>
    <t>BP-VFP2</t>
  </si>
  <si>
    <t>OPUS-VFP</t>
  </si>
  <si>
    <t>OPUS-VFP2</t>
  </si>
  <si>
    <t>10.28.1.111</t>
  </si>
  <si>
    <t>Verizon</t>
  </si>
  <si>
    <t>FCTG-RIFP</t>
  </si>
  <si>
    <t>RIFP_to_Azure</t>
  </si>
  <si>
    <t>37</t>
  </si>
  <si>
    <t>RIFP_to_Azure_2</t>
  </si>
  <si>
    <t>38</t>
  </si>
  <si>
    <t>RIFP-BIFP_fax</t>
  </si>
  <si>
    <t>39</t>
  </si>
  <si>
    <t>FCTG-RIFP_2</t>
  </si>
  <si>
    <t>Opus_to_RIFP_2</t>
  </si>
  <si>
    <t>OPUS</t>
  </si>
  <si>
    <t>10.14.1.2</t>
  </si>
  <si>
    <t>Opus_to_SMT</t>
  </si>
  <si>
    <t>Opus_to_SMT_2</t>
  </si>
  <si>
    <t>SMT_to_BI2</t>
  </si>
  <si>
    <t>SMT_to_BIFP</t>
  </si>
  <si>
    <t>139</t>
  </si>
  <si>
    <t>BP-OpCo</t>
  </si>
  <si>
    <t>BP-Opco2</t>
  </si>
  <si>
    <t>SMT-Azure</t>
  </si>
  <si>
    <t>Azure2</t>
  </si>
  <si>
    <t>10.20.1.18</t>
  </si>
  <si>
    <t>FIOS</t>
  </si>
  <si>
    <t>Lumen</t>
  </si>
  <si>
    <t>Fios</t>
  </si>
  <si>
    <t>TIFP-FCTG</t>
  </si>
  <si>
    <t>TIFP-AZURE</t>
  </si>
  <si>
    <t>AZURE</t>
  </si>
  <si>
    <t>TIFP-Azure_FO</t>
  </si>
  <si>
    <t>TIFP-BIFP</t>
  </si>
  <si>
    <t>TIFP-FCTG-FO</t>
  </si>
  <si>
    <t>TIFP-OPUS</t>
  </si>
  <si>
    <t>TIFP-OPUS_2</t>
  </si>
  <si>
    <t>TIFP-BP-FO</t>
  </si>
  <si>
    <t>TIFP-BIFP-FO</t>
  </si>
  <si>
    <t>TIFP-BP</t>
  </si>
  <si>
    <t>10.24.10.1</t>
  </si>
  <si>
    <t>Century_Link</t>
  </si>
  <si>
    <t>OPUS_ZIPLY_2nd</t>
  </si>
  <si>
    <t>Opus_EDI_1st</t>
  </si>
  <si>
    <t>Century_link</t>
  </si>
  <si>
    <t>FCTG_VPN_CL2nd</t>
  </si>
  <si>
    <t>FCTGHQ</t>
  </si>
  <si>
    <t>FCTG_VPN_AS_1st</t>
  </si>
  <si>
    <t>Azure_VPN_CL2nd</t>
  </si>
  <si>
    <t>AllStream</t>
  </si>
  <si>
    <t>Azure_VPN_AS1st</t>
  </si>
  <si>
    <t>FCTG_EAST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</si>
</sst>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3" fontId="3" fillId="7" borderId="1" xfId="0" applyNumberFormat="1" applyFont="1" applyFill="1" applyBorder="1" applyAlignment="1">
      <alignment horizontal="right" vertical="center"/>
    </xf>
    <xf numFmtId="164" fontId="3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3" fontId="3" fillId="8" borderId="1" xfId="0" applyNumberFormat="1" applyFont="1" applyFill="1" applyBorder="1" applyAlignment="1">
      <alignment horizontal="right" vertical="center"/>
    </xf>
    <xf numFmtId="164" fontId="3" fillId="8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workbookViewId="0">
      <pane ySplit="2" topLeftCell="A3" activePane="bottomLeft" state="frozen"/>
      <selection pane="bottomLeft" activeCell="N19" sqref="N19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5">
        <v>0</v>
      </c>
      <c r="J3" s="5">
        <v>0</v>
      </c>
      <c r="K3" s="6">
        <f t="shared" ref="K3:K31" si="0">I3/1000000</f>
        <v>0</v>
      </c>
      <c r="L3" s="6">
        <f t="shared" ref="L3:L31" si="1">J3/1000000</f>
        <v>0</v>
      </c>
      <c r="M3" s="4"/>
      <c r="N3" s="4"/>
    </row>
    <row r="4" spans="1:14" x14ac:dyDescent="0.25">
      <c r="A4" s="7" t="s">
        <v>22</v>
      </c>
      <c r="B4" s="7" t="s">
        <v>30</v>
      </c>
      <c r="C4" s="7" t="s">
        <v>24</v>
      </c>
      <c r="D4" s="7" t="s">
        <v>25</v>
      </c>
      <c r="E4" s="7" t="s">
        <v>31</v>
      </c>
      <c r="F4" s="7" t="s">
        <v>27</v>
      </c>
      <c r="G4" s="7" t="s">
        <v>28</v>
      </c>
      <c r="H4" s="7" t="s">
        <v>32</v>
      </c>
      <c r="I4" s="8">
        <v>0</v>
      </c>
      <c r="J4" s="8">
        <v>0</v>
      </c>
      <c r="K4" s="9">
        <f t="shared" si="0"/>
        <v>0</v>
      </c>
      <c r="L4" s="9">
        <f t="shared" si="1"/>
        <v>0</v>
      </c>
      <c r="M4" s="7"/>
      <c r="N4" s="7"/>
    </row>
    <row r="5" spans="1:14" x14ac:dyDescent="0.25">
      <c r="A5" s="4" t="s">
        <v>22</v>
      </c>
      <c r="B5" s="4" t="s">
        <v>33</v>
      </c>
      <c r="C5" s="4" t="s">
        <v>24</v>
      </c>
      <c r="D5" s="4" t="s">
        <v>34</v>
      </c>
      <c r="E5" s="4" t="s">
        <v>35</v>
      </c>
      <c r="F5" s="4" t="s">
        <v>27</v>
      </c>
      <c r="G5" s="4" t="s">
        <v>28</v>
      </c>
      <c r="H5" s="4" t="s">
        <v>32</v>
      </c>
      <c r="I5" s="5">
        <v>100000000</v>
      </c>
      <c r="J5" s="5">
        <v>100000000</v>
      </c>
      <c r="K5" s="6">
        <f t="shared" si="0"/>
        <v>100</v>
      </c>
      <c r="L5" s="6">
        <f t="shared" si="1"/>
        <v>100</v>
      </c>
      <c r="M5" s="4"/>
      <c r="N5" s="4"/>
    </row>
    <row r="6" spans="1:14" x14ac:dyDescent="0.25">
      <c r="A6" s="10" t="s">
        <v>36</v>
      </c>
      <c r="B6" s="10" t="s">
        <v>37</v>
      </c>
      <c r="C6" s="10" t="s">
        <v>38</v>
      </c>
      <c r="D6" s="10" t="s">
        <v>39</v>
      </c>
      <c r="E6" s="10" t="s">
        <v>26</v>
      </c>
      <c r="F6" s="10" t="s">
        <v>27</v>
      </c>
      <c r="G6" s="10" t="s">
        <v>28</v>
      </c>
      <c r="H6" s="10" t="s">
        <v>29</v>
      </c>
      <c r="I6" s="11">
        <v>1000000000</v>
      </c>
      <c r="J6" s="11">
        <v>1000000000</v>
      </c>
      <c r="K6" s="12">
        <f t="shared" si="0"/>
        <v>1000</v>
      </c>
      <c r="L6" s="12">
        <f t="shared" si="1"/>
        <v>1000</v>
      </c>
      <c r="M6" s="10" t="s">
        <v>40</v>
      </c>
      <c r="N6" s="10" t="s">
        <v>41</v>
      </c>
    </row>
    <row r="7" spans="1:14" x14ac:dyDescent="0.25">
      <c r="A7" s="13" t="s">
        <v>36</v>
      </c>
      <c r="B7" s="13" t="s">
        <v>42</v>
      </c>
      <c r="C7" s="13" t="s">
        <v>38</v>
      </c>
      <c r="D7" s="13" t="s">
        <v>39</v>
      </c>
      <c r="E7" s="13" t="s">
        <v>26</v>
      </c>
      <c r="F7" s="13" t="s">
        <v>27</v>
      </c>
      <c r="G7" s="13" t="s">
        <v>43</v>
      </c>
      <c r="H7" s="13" t="s">
        <v>29</v>
      </c>
      <c r="I7" s="14">
        <v>1000000000</v>
      </c>
      <c r="J7" s="14">
        <v>1000000000</v>
      </c>
      <c r="K7" s="15">
        <f t="shared" si="0"/>
        <v>1000</v>
      </c>
      <c r="L7" s="15">
        <f t="shared" si="1"/>
        <v>1000</v>
      </c>
      <c r="M7" s="13" t="s">
        <v>44</v>
      </c>
      <c r="N7" s="13" t="s">
        <v>45</v>
      </c>
    </row>
    <row r="8" spans="1:14" x14ac:dyDescent="0.25">
      <c r="A8" s="10" t="s">
        <v>36</v>
      </c>
      <c r="B8" s="10" t="s">
        <v>46</v>
      </c>
      <c r="C8" s="10" t="s">
        <v>38</v>
      </c>
      <c r="D8" s="10" t="s">
        <v>39</v>
      </c>
      <c r="E8" s="10" t="s">
        <v>26</v>
      </c>
      <c r="F8" s="10" t="s">
        <v>27</v>
      </c>
      <c r="G8" s="10" t="s">
        <v>43</v>
      </c>
      <c r="H8" s="10" t="s">
        <v>29</v>
      </c>
      <c r="I8" s="11">
        <v>1000000000</v>
      </c>
      <c r="J8" s="11">
        <v>1000000000</v>
      </c>
      <c r="K8" s="12">
        <f t="shared" si="0"/>
        <v>1000</v>
      </c>
      <c r="L8" s="12">
        <f t="shared" si="1"/>
        <v>1000</v>
      </c>
      <c r="M8" s="10" t="s">
        <v>47</v>
      </c>
      <c r="N8" s="10" t="s">
        <v>48</v>
      </c>
    </row>
    <row r="9" spans="1:14" x14ac:dyDescent="0.25">
      <c r="A9" s="13" t="s">
        <v>36</v>
      </c>
      <c r="B9" s="13" t="s">
        <v>49</v>
      </c>
      <c r="C9" s="13" t="s">
        <v>38</v>
      </c>
      <c r="D9" s="13" t="s">
        <v>39</v>
      </c>
      <c r="E9" s="13" t="s">
        <v>26</v>
      </c>
      <c r="F9" s="13" t="s">
        <v>27</v>
      </c>
      <c r="G9" s="13" t="s">
        <v>43</v>
      </c>
      <c r="H9" s="13" t="s">
        <v>29</v>
      </c>
      <c r="I9" s="14">
        <v>1000000000</v>
      </c>
      <c r="J9" s="14">
        <v>1000000000</v>
      </c>
      <c r="K9" s="15">
        <f t="shared" si="0"/>
        <v>1000</v>
      </c>
      <c r="L9" s="15">
        <f t="shared" si="1"/>
        <v>1000</v>
      </c>
      <c r="M9" s="13" t="s">
        <v>50</v>
      </c>
      <c r="N9" s="13" t="s">
        <v>51</v>
      </c>
    </row>
    <row r="10" spans="1:14" x14ac:dyDescent="0.25">
      <c r="A10" s="10" t="s">
        <v>36</v>
      </c>
      <c r="B10" s="10" t="s">
        <v>52</v>
      </c>
      <c r="C10" s="10" t="s">
        <v>38</v>
      </c>
      <c r="D10" s="10" t="s">
        <v>39</v>
      </c>
      <c r="E10" s="10" t="s">
        <v>26</v>
      </c>
      <c r="F10" s="10" t="s">
        <v>27</v>
      </c>
      <c r="G10" s="10" t="s">
        <v>43</v>
      </c>
      <c r="H10" s="10" t="s">
        <v>29</v>
      </c>
      <c r="I10" s="11">
        <v>1000000000</v>
      </c>
      <c r="J10" s="11">
        <v>1000000000</v>
      </c>
      <c r="K10" s="12">
        <f t="shared" si="0"/>
        <v>1000</v>
      </c>
      <c r="L10" s="12">
        <f t="shared" si="1"/>
        <v>1000</v>
      </c>
      <c r="M10" s="10" t="s">
        <v>53</v>
      </c>
      <c r="N10" s="10" t="s">
        <v>54</v>
      </c>
    </row>
    <row r="11" spans="1:14" x14ac:dyDescent="0.25">
      <c r="A11" s="13" t="s">
        <v>36</v>
      </c>
      <c r="B11" s="13" t="s">
        <v>55</v>
      </c>
      <c r="C11" s="13" t="s">
        <v>38</v>
      </c>
      <c r="D11" s="13" t="s">
        <v>39</v>
      </c>
      <c r="E11" s="13" t="s">
        <v>26</v>
      </c>
      <c r="F11" s="13" t="s">
        <v>27</v>
      </c>
      <c r="G11" s="13" t="s">
        <v>43</v>
      </c>
      <c r="H11" s="13" t="s">
        <v>29</v>
      </c>
      <c r="I11" s="14">
        <v>1000000000</v>
      </c>
      <c r="J11" s="14">
        <v>1000000000</v>
      </c>
      <c r="K11" s="15">
        <f t="shared" si="0"/>
        <v>1000</v>
      </c>
      <c r="L11" s="15">
        <f t="shared" si="1"/>
        <v>1000</v>
      </c>
      <c r="M11" s="13" t="s">
        <v>56</v>
      </c>
      <c r="N11" s="13" t="s">
        <v>57</v>
      </c>
    </row>
    <row r="12" spans="1:14" x14ac:dyDescent="0.25">
      <c r="A12" s="10" t="s">
        <v>36</v>
      </c>
      <c r="B12" s="10" t="s">
        <v>58</v>
      </c>
      <c r="C12" s="10" t="s">
        <v>38</v>
      </c>
      <c r="D12" s="10" t="s">
        <v>39</v>
      </c>
      <c r="E12" s="10" t="s">
        <v>26</v>
      </c>
      <c r="F12" s="10" t="s">
        <v>27</v>
      </c>
      <c r="G12" s="10" t="s">
        <v>43</v>
      </c>
      <c r="H12" s="10" t="s">
        <v>29</v>
      </c>
      <c r="I12" s="11">
        <v>1000000000</v>
      </c>
      <c r="J12" s="11">
        <v>1000000000</v>
      </c>
      <c r="K12" s="12">
        <f t="shared" si="0"/>
        <v>1000</v>
      </c>
      <c r="L12" s="12">
        <f t="shared" si="1"/>
        <v>1000</v>
      </c>
      <c r="M12" s="10" t="s">
        <v>59</v>
      </c>
      <c r="N12" s="10" t="s">
        <v>60</v>
      </c>
    </row>
    <row r="13" spans="1:14" x14ac:dyDescent="0.25">
      <c r="A13" s="13" t="s">
        <v>36</v>
      </c>
      <c r="B13" s="13" t="s">
        <v>61</v>
      </c>
      <c r="C13" s="13" t="s">
        <v>38</v>
      </c>
      <c r="D13" s="13" t="s">
        <v>39</v>
      </c>
      <c r="E13" s="13" t="s">
        <v>26</v>
      </c>
      <c r="F13" s="13" t="s">
        <v>27</v>
      </c>
      <c r="G13" s="13" t="s">
        <v>43</v>
      </c>
      <c r="H13" s="13" t="s">
        <v>29</v>
      </c>
      <c r="I13" s="14">
        <v>1000000000</v>
      </c>
      <c r="J13" s="14">
        <v>1000000000</v>
      </c>
      <c r="K13" s="15">
        <f t="shared" si="0"/>
        <v>1000</v>
      </c>
      <c r="L13" s="15">
        <f t="shared" si="1"/>
        <v>1000</v>
      </c>
      <c r="M13" s="13" t="s">
        <v>62</v>
      </c>
      <c r="N13" s="13" t="s">
        <v>63</v>
      </c>
    </row>
    <row r="14" spans="1:14" x14ac:dyDescent="0.25">
      <c r="A14" s="10" t="s">
        <v>36</v>
      </c>
      <c r="B14" s="10" t="s">
        <v>64</v>
      </c>
      <c r="C14" s="10" t="s">
        <v>38</v>
      </c>
      <c r="D14" s="10" t="s">
        <v>39</v>
      </c>
      <c r="E14" s="10" t="s">
        <v>26</v>
      </c>
      <c r="F14" s="10" t="s">
        <v>27</v>
      </c>
      <c r="G14" s="10" t="s">
        <v>43</v>
      </c>
      <c r="H14" s="10" t="s">
        <v>29</v>
      </c>
      <c r="I14" s="11">
        <v>1000000000</v>
      </c>
      <c r="J14" s="11">
        <v>1000000000</v>
      </c>
      <c r="K14" s="12">
        <f t="shared" si="0"/>
        <v>1000</v>
      </c>
      <c r="L14" s="12">
        <f t="shared" si="1"/>
        <v>1000</v>
      </c>
      <c r="M14" s="10" t="s">
        <v>65</v>
      </c>
      <c r="N14" s="10" t="s">
        <v>66</v>
      </c>
    </row>
    <row r="15" spans="1:14" x14ac:dyDescent="0.25">
      <c r="A15" s="13" t="s">
        <v>36</v>
      </c>
      <c r="B15" s="13" t="s">
        <v>67</v>
      </c>
      <c r="C15" s="13" t="s">
        <v>38</v>
      </c>
      <c r="D15" s="13" t="s">
        <v>39</v>
      </c>
      <c r="E15" s="13" t="s">
        <v>26</v>
      </c>
      <c r="F15" s="13" t="s">
        <v>27</v>
      </c>
      <c r="G15" s="13" t="s">
        <v>43</v>
      </c>
      <c r="H15" s="13" t="s">
        <v>29</v>
      </c>
      <c r="I15" s="14">
        <v>1000000000</v>
      </c>
      <c r="J15" s="14">
        <v>1000000000</v>
      </c>
      <c r="K15" s="15">
        <f t="shared" si="0"/>
        <v>1000</v>
      </c>
      <c r="L15" s="15">
        <f t="shared" si="1"/>
        <v>1000</v>
      </c>
      <c r="M15" s="13" t="s">
        <v>68</v>
      </c>
      <c r="N15" s="13" t="s">
        <v>69</v>
      </c>
    </row>
    <row r="16" spans="1:14" x14ac:dyDescent="0.25">
      <c r="A16" s="10" t="s">
        <v>36</v>
      </c>
      <c r="B16" s="10" t="s">
        <v>70</v>
      </c>
      <c r="C16" s="10" t="s">
        <v>38</v>
      </c>
      <c r="D16" s="10" t="s">
        <v>39</v>
      </c>
      <c r="E16" s="10" t="s">
        <v>26</v>
      </c>
      <c r="F16" s="10" t="s">
        <v>27</v>
      </c>
      <c r="G16" s="10" t="s">
        <v>43</v>
      </c>
      <c r="H16" s="10" t="s">
        <v>29</v>
      </c>
      <c r="I16" s="11">
        <v>1000000000</v>
      </c>
      <c r="J16" s="11">
        <v>1000000000</v>
      </c>
      <c r="K16" s="12">
        <f t="shared" si="0"/>
        <v>1000</v>
      </c>
      <c r="L16" s="12">
        <f t="shared" si="1"/>
        <v>1000</v>
      </c>
      <c r="M16" s="10" t="s">
        <v>71</v>
      </c>
      <c r="N16" s="10" t="s">
        <v>72</v>
      </c>
    </row>
    <row r="17" spans="1:14" x14ac:dyDescent="0.25">
      <c r="A17" s="13" t="s">
        <v>36</v>
      </c>
      <c r="B17" s="13" t="s">
        <v>73</v>
      </c>
      <c r="C17" s="13" t="s">
        <v>38</v>
      </c>
      <c r="D17" s="13" t="s">
        <v>39</v>
      </c>
      <c r="E17" s="13" t="s">
        <v>26</v>
      </c>
      <c r="F17" s="13" t="s">
        <v>27</v>
      </c>
      <c r="G17" s="13" t="s">
        <v>43</v>
      </c>
      <c r="H17" s="13" t="s">
        <v>29</v>
      </c>
      <c r="I17" s="14">
        <v>1000000000</v>
      </c>
      <c r="J17" s="14">
        <v>1000000000</v>
      </c>
      <c r="K17" s="15">
        <f t="shared" si="0"/>
        <v>1000</v>
      </c>
      <c r="L17" s="15">
        <f t="shared" si="1"/>
        <v>1000</v>
      </c>
      <c r="M17" s="13" t="s">
        <v>74</v>
      </c>
      <c r="N17" s="13" t="s">
        <v>75</v>
      </c>
    </row>
    <row r="18" spans="1:14" x14ac:dyDescent="0.25">
      <c r="A18" s="10" t="s">
        <v>36</v>
      </c>
      <c r="B18" s="10" t="s">
        <v>76</v>
      </c>
      <c r="C18" s="10" t="s">
        <v>38</v>
      </c>
      <c r="D18" s="10" t="s">
        <v>39</v>
      </c>
      <c r="E18" s="10" t="s">
        <v>26</v>
      </c>
      <c r="F18" s="10" t="s">
        <v>27</v>
      </c>
      <c r="G18" s="10" t="s">
        <v>43</v>
      </c>
      <c r="H18" s="10" t="s">
        <v>29</v>
      </c>
      <c r="I18" s="11">
        <v>1000000000</v>
      </c>
      <c r="J18" s="11">
        <v>1000000000</v>
      </c>
      <c r="K18" s="12">
        <f t="shared" si="0"/>
        <v>1000</v>
      </c>
      <c r="L18" s="12">
        <f t="shared" si="1"/>
        <v>1000</v>
      </c>
      <c r="M18" s="10" t="s">
        <v>77</v>
      </c>
      <c r="N18" s="10" t="s">
        <v>78</v>
      </c>
    </row>
    <row r="19" spans="1:14" x14ac:dyDescent="0.25">
      <c r="A19" s="13" t="s">
        <v>36</v>
      </c>
      <c r="B19" s="13" t="s">
        <v>79</v>
      </c>
      <c r="C19" s="13" t="s">
        <v>38</v>
      </c>
      <c r="D19" s="13" t="s">
        <v>39</v>
      </c>
      <c r="E19" s="13" t="s">
        <v>31</v>
      </c>
      <c r="F19" s="13" t="s">
        <v>80</v>
      </c>
      <c r="G19" s="13" t="s">
        <v>28</v>
      </c>
      <c r="H19" s="13" t="s">
        <v>32</v>
      </c>
      <c r="I19" s="14">
        <v>500000000</v>
      </c>
      <c r="J19" s="14">
        <v>500000000</v>
      </c>
      <c r="K19" s="15">
        <f t="shared" si="0"/>
        <v>500</v>
      </c>
      <c r="L19" s="15">
        <f t="shared" si="1"/>
        <v>500</v>
      </c>
      <c r="M19" s="13" t="s">
        <v>81</v>
      </c>
      <c r="N19" s="13" t="s">
        <v>267</v>
      </c>
    </row>
    <row r="20" spans="1:14" x14ac:dyDescent="0.25">
      <c r="A20" s="10" t="s">
        <v>36</v>
      </c>
      <c r="B20" s="10" t="s">
        <v>82</v>
      </c>
      <c r="C20" s="10" t="s">
        <v>38</v>
      </c>
      <c r="D20" s="10" t="s">
        <v>39</v>
      </c>
      <c r="E20" s="10" t="s">
        <v>31</v>
      </c>
      <c r="F20" s="10" t="s">
        <v>80</v>
      </c>
      <c r="G20" s="10" t="s">
        <v>43</v>
      </c>
      <c r="H20" s="10" t="s">
        <v>32</v>
      </c>
      <c r="I20" s="11">
        <v>500000000</v>
      </c>
      <c r="J20" s="11">
        <v>500000000</v>
      </c>
      <c r="K20" s="12">
        <f t="shared" si="0"/>
        <v>500</v>
      </c>
      <c r="L20" s="12">
        <f t="shared" si="1"/>
        <v>500</v>
      </c>
      <c r="M20" s="10" t="s">
        <v>83</v>
      </c>
      <c r="N20" s="10" t="s">
        <v>45</v>
      </c>
    </row>
    <row r="21" spans="1:14" x14ac:dyDescent="0.25">
      <c r="A21" s="13" t="s">
        <v>36</v>
      </c>
      <c r="B21" s="13" t="s">
        <v>84</v>
      </c>
      <c r="C21" s="13" t="s">
        <v>38</v>
      </c>
      <c r="D21" s="13" t="s">
        <v>39</v>
      </c>
      <c r="E21" s="13" t="s">
        <v>31</v>
      </c>
      <c r="F21" s="13" t="s">
        <v>80</v>
      </c>
      <c r="G21" s="13" t="s">
        <v>43</v>
      </c>
      <c r="H21" s="13" t="s">
        <v>32</v>
      </c>
      <c r="I21" s="14">
        <v>500000000</v>
      </c>
      <c r="J21" s="14">
        <v>500000000</v>
      </c>
      <c r="K21" s="15">
        <f t="shared" si="0"/>
        <v>500</v>
      </c>
      <c r="L21" s="15">
        <f t="shared" si="1"/>
        <v>500</v>
      </c>
      <c r="M21" s="13" t="s">
        <v>85</v>
      </c>
      <c r="N21" s="13" t="s">
        <v>48</v>
      </c>
    </row>
    <row r="22" spans="1:14" x14ac:dyDescent="0.25">
      <c r="A22" s="10" t="s">
        <v>36</v>
      </c>
      <c r="B22" s="10" t="s">
        <v>86</v>
      </c>
      <c r="C22" s="10" t="s">
        <v>38</v>
      </c>
      <c r="D22" s="10" t="s">
        <v>39</v>
      </c>
      <c r="E22" s="10" t="s">
        <v>31</v>
      </c>
      <c r="F22" s="10" t="s">
        <v>80</v>
      </c>
      <c r="G22" s="10" t="s">
        <v>43</v>
      </c>
      <c r="H22" s="10" t="s">
        <v>32</v>
      </c>
      <c r="I22" s="11">
        <v>500000000</v>
      </c>
      <c r="J22" s="11">
        <v>500000000</v>
      </c>
      <c r="K22" s="12">
        <f t="shared" si="0"/>
        <v>500</v>
      </c>
      <c r="L22" s="12">
        <f t="shared" si="1"/>
        <v>500</v>
      </c>
      <c r="M22" s="10" t="s">
        <v>87</v>
      </c>
      <c r="N22" s="10" t="s">
        <v>51</v>
      </c>
    </row>
    <row r="23" spans="1:14" x14ac:dyDescent="0.25">
      <c r="A23" s="13" t="s">
        <v>36</v>
      </c>
      <c r="B23" s="13" t="s">
        <v>88</v>
      </c>
      <c r="C23" s="13" t="s">
        <v>38</v>
      </c>
      <c r="D23" s="13" t="s">
        <v>39</v>
      </c>
      <c r="E23" s="13" t="s">
        <v>31</v>
      </c>
      <c r="F23" s="13" t="s">
        <v>80</v>
      </c>
      <c r="G23" s="13" t="s">
        <v>43</v>
      </c>
      <c r="H23" s="13" t="s">
        <v>32</v>
      </c>
      <c r="I23" s="14">
        <v>500000000</v>
      </c>
      <c r="J23" s="14">
        <v>500000000</v>
      </c>
      <c r="K23" s="15">
        <f t="shared" si="0"/>
        <v>500</v>
      </c>
      <c r="L23" s="15">
        <f t="shared" si="1"/>
        <v>500</v>
      </c>
      <c r="M23" s="13" t="s">
        <v>89</v>
      </c>
      <c r="N23" s="13" t="s">
        <v>54</v>
      </c>
    </row>
    <row r="24" spans="1:14" x14ac:dyDescent="0.25">
      <c r="A24" s="10" t="s">
        <v>36</v>
      </c>
      <c r="B24" s="10" t="s">
        <v>90</v>
      </c>
      <c r="C24" s="10" t="s">
        <v>38</v>
      </c>
      <c r="D24" s="10" t="s">
        <v>39</v>
      </c>
      <c r="E24" s="10" t="s">
        <v>31</v>
      </c>
      <c r="F24" s="10" t="s">
        <v>80</v>
      </c>
      <c r="G24" s="10" t="s">
        <v>43</v>
      </c>
      <c r="H24" s="10" t="s">
        <v>32</v>
      </c>
      <c r="I24" s="11">
        <v>500000000</v>
      </c>
      <c r="J24" s="11">
        <v>500000000</v>
      </c>
      <c r="K24" s="12">
        <f t="shared" si="0"/>
        <v>500</v>
      </c>
      <c r="L24" s="12">
        <f t="shared" si="1"/>
        <v>500</v>
      </c>
      <c r="M24" s="10" t="s">
        <v>91</v>
      </c>
      <c r="N24" s="10" t="s">
        <v>57</v>
      </c>
    </row>
    <row r="25" spans="1:14" x14ac:dyDescent="0.25">
      <c r="A25" s="13" t="s">
        <v>36</v>
      </c>
      <c r="B25" s="13" t="s">
        <v>92</v>
      </c>
      <c r="C25" s="13" t="s">
        <v>38</v>
      </c>
      <c r="D25" s="13" t="s">
        <v>39</v>
      </c>
      <c r="E25" s="13" t="s">
        <v>31</v>
      </c>
      <c r="F25" s="13" t="s">
        <v>80</v>
      </c>
      <c r="G25" s="13" t="s">
        <v>43</v>
      </c>
      <c r="H25" s="13" t="s">
        <v>32</v>
      </c>
      <c r="I25" s="14">
        <v>500000000</v>
      </c>
      <c r="J25" s="14">
        <v>500000000</v>
      </c>
      <c r="K25" s="15">
        <f t="shared" si="0"/>
        <v>500</v>
      </c>
      <c r="L25" s="15">
        <f t="shared" si="1"/>
        <v>500</v>
      </c>
      <c r="M25" s="13" t="s">
        <v>93</v>
      </c>
      <c r="N25" s="13" t="s">
        <v>60</v>
      </c>
    </row>
    <row r="26" spans="1:14" x14ac:dyDescent="0.25">
      <c r="A26" s="10" t="s">
        <v>36</v>
      </c>
      <c r="B26" s="10" t="s">
        <v>94</v>
      </c>
      <c r="C26" s="10" t="s">
        <v>38</v>
      </c>
      <c r="D26" s="10" t="s">
        <v>39</v>
      </c>
      <c r="E26" s="10" t="s">
        <v>31</v>
      </c>
      <c r="F26" s="10" t="s">
        <v>80</v>
      </c>
      <c r="G26" s="10" t="s">
        <v>43</v>
      </c>
      <c r="H26" s="10" t="s">
        <v>32</v>
      </c>
      <c r="I26" s="11">
        <v>500000000</v>
      </c>
      <c r="J26" s="11">
        <v>500000000</v>
      </c>
      <c r="K26" s="12">
        <f t="shared" si="0"/>
        <v>500</v>
      </c>
      <c r="L26" s="12">
        <f t="shared" si="1"/>
        <v>500</v>
      </c>
      <c r="M26" s="10" t="s">
        <v>95</v>
      </c>
      <c r="N26" s="10" t="s">
        <v>63</v>
      </c>
    </row>
    <row r="27" spans="1:14" x14ac:dyDescent="0.25">
      <c r="A27" s="13" t="s">
        <v>36</v>
      </c>
      <c r="B27" s="13" t="s">
        <v>96</v>
      </c>
      <c r="C27" s="13" t="s">
        <v>38</v>
      </c>
      <c r="D27" s="13" t="s">
        <v>39</v>
      </c>
      <c r="E27" s="13" t="s">
        <v>31</v>
      </c>
      <c r="F27" s="13" t="s">
        <v>80</v>
      </c>
      <c r="G27" s="13" t="s">
        <v>43</v>
      </c>
      <c r="H27" s="13" t="s">
        <v>32</v>
      </c>
      <c r="I27" s="14">
        <v>500000000</v>
      </c>
      <c r="J27" s="14">
        <v>500000000</v>
      </c>
      <c r="K27" s="15">
        <f t="shared" si="0"/>
        <v>500</v>
      </c>
      <c r="L27" s="15">
        <f t="shared" si="1"/>
        <v>500</v>
      </c>
      <c r="M27" s="13" t="s">
        <v>97</v>
      </c>
      <c r="N27" s="13" t="s">
        <v>66</v>
      </c>
    </row>
    <row r="28" spans="1:14" x14ac:dyDescent="0.25">
      <c r="A28" s="10" t="s">
        <v>36</v>
      </c>
      <c r="B28" s="10" t="s">
        <v>98</v>
      </c>
      <c r="C28" s="10" t="s">
        <v>38</v>
      </c>
      <c r="D28" s="10" t="s">
        <v>39</v>
      </c>
      <c r="E28" s="10" t="s">
        <v>31</v>
      </c>
      <c r="F28" s="10" t="s">
        <v>80</v>
      </c>
      <c r="G28" s="10" t="s">
        <v>43</v>
      </c>
      <c r="H28" s="10" t="s">
        <v>32</v>
      </c>
      <c r="I28" s="11">
        <v>500000000</v>
      </c>
      <c r="J28" s="11">
        <v>500000000</v>
      </c>
      <c r="K28" s="12">
        <f t="shared" si="0"/>
        <v>500</v>
      </c>
      <c r="L28" s="12">
        <f t="shared" si="1"/>
        <v>500</v>
      </c>
      <c r="M28" s="10" t="s">
        <v>99</v>
      </c>
      <c r="N28" s="10" t="s">
        <v>69</v>
      </c>
    </row>
    <row r="29" spans="1:14" x14ac:dyDescent="0.25">
      <c r="A29" s="13" t="s">
        <v>36</v>
      </c>
      <c r="B29" s="13" t="s">
        <v>100</v>
      </c>
      <c r="C29" s="13" t="s">
        <v>38</v>
      </c>
      <c r="D29" s="13" t="s">
        <v>39</v>
      </c>
      <c r="E29" s="13" t="s">
        <v>31</v>
      </c>
      <c r="F29" s="13" t="s">
        <v>80</v>
      </c>
      <c r="G29" s="13" t="s">
        <v>43</v>
      </c>
      <c r="H29" s="13" t="s">
        <v>32</v>
      </c>
      <c r="I29" s="14">
        <v>500000000</v>
      </c>
      <c r="J29" s="14">
        <v>500000000</v>
      </c>
      <c r="K29" s="15">
        <f t="shared" si="0"/>
        <v>500</v>
      </c>
      <c r="L29" s="15">
        <f t="shared" si="1"/>
        <v>500</v>
      </c>
      <c r="M29" s="13" t="s">
        <v>101</v>
      </c>
      <c r="N29" s="13" t="s">
        <v>72</v>
      </c>
    </row>
    <row r="30" spans="1:14" x14ac:dyDescent="0.25">
      <c r="A30" s="10" t="s">
        <v>36</v>
      </c>
      <c r="B30" s="10" t="s">
        <v>102</v>
      </c>
      <c r="C30" s="10" t="s">
        <v>38</v>
      </c>
      <c r="D30" s="10" t="s">
        <v>39</v>
      </c>
      <c r="E30" s="10" t="s">
        <v>31</v>
      </c>
      <c r="F30" s="10" t="s">
        <v>80</v>
      </c>
      <c r="G30" s="10" t="s">
        <v>43</v>
      </c>
      <c r="H30" s="10" t="s">
        <v>32</v>
      </c>
      <c r="I30" s="11">
        <v>500000000</v>
      </c>
      <c r="J30" s="11">
        <v>500000000</v>
      </c>
      <c r="K30" s="12">
        <f t="shared" si="0"/>
        <v>500</v>
      </c>
      <c r="L30" s="12">
        <f t="shared" si="1"/>
        <v>500</v>
      </c>
      <c r="M30" s="10" t="s">
        <v>103</v>
      </c>
      <c r="N30" s="10" t="s">
        <v>75</v>
      </c>
    </row>
    <row r="31" spans="1:14" x14ac:dyDescent="0.25">
      <c r="A31" s="13" t="s">
        <v>36</v>
      </c>
      <c r="B31" s="13" t="s">
        <v>104</v>
      </c>
      <c r="C31" s="13" t="s">
        <v>38</v>
      </c>
      <c r="D31" s="13" t="s">
        <v>39</v>
      </c>
      <c r="E31" s="13" t="s">
        <v>31</v>
      </c>
      <c r="F31" s="13" t="s">
        <v>80</v>
      </c>
      <c r="G31" s="13" t="s">
        <v>43</v>
      </c>
      <c r="H31" s="13" t="s">
        <v>32</v>
      </c>
      <c r="I31" s="14">
        <v>500000000</v>
      </c>
      <c r="J31" s="14">
        <v>500000000</v>
      </c>
      <c r="K31" s="15">
        <f t="shared" si="0"/>
        <v>500</v>
      </c>
      <c r="L31" s="15">
        <f t="shared" si="1"/>
        <v>500</v>
      </c>
      <c r="M31" s="13" t="s">
        <v>105</v>
      </c>
      <c r="N31" s="13" t="s">
        <v>41</v>
      </c>
    </row>
  </sheetData>
  <autoFilter ref="A2:N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>
      <pane ySplit="2" topLeftCell="A3" activePane="bottomLeft" state="frozen"/>
      <selection pane="bottomLeft" activeCell="J12" sqref="J12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106</v>
      </c>
      <c r="C1" s="1" t="s">
        <v>2</v>
      </c>
      <c r="D1" s="2" t="s">
        <v>107</v>
      </c>
      <c r="E1" s="1" t="s">
        <v>4</v>
      </c>
      <c r="F1" s="2" t="s">
        <v>5</v>
      </c>
      <c r="G1" s="1" t="s">
        <v>6</v>
      </c>
      <c r="H1" s="2" t="s">
        <v>108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109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110</v>
      </c>
      <c r="I3" s="5">
        <v>1000000000</v>
      </c>
      <c r="J3" s="5">
        <v>1000000000</v>
      </c>
      <c r="K3" s="6">
        <f t="shared" ref="K3:L5" si="0">I3/1000000</f>
        <v>1000</v>
      </c>
      <c r="L3" s="6">
        <f t="shared" si="0"/>
        <v>1000</v>
      </c>
      <c r="M3" s="4"/>
      <c r="N3" s="4"/>
    </row>
    <row r="4" spans="1:14" x14ac:dyDescent="0.25">
      <c r="A4" s="7" t="s">
        <v>22</v>
      </c>
      <c r="B4" s="7" t="s">
        <v>111</v>
      </c>
      <c r="C4" s="7" t="s">
        <v>24</v>
      </c>
      <c r="D4" s="7" t="s">
        <v>25</v>
      </c>
      <c r="E4" s="7" t="s">
        <v>31</v>
      </c>
      <c r="F4" s="7" t="s">
        <v>27</v>
      </c>
      <c r="G4" s="7" t="s">
        <v>28</v>
      </c>
      <c r="H4" s="7" t="s">
        <v>32</v>
      </c>
      <c r="I4" s="8">
        <v>1000000000</v>
      </c>
      <c r="J4" s="8">
        <v>1000000000</v>
      </c>
      <c r="K4" s="9">
        <f t="shared" si="0"/>
        <v>1000</v>
      </c>
      <c r="L4" s="9">
        <f t="shared" si="0"/>
        <v>1000</v>
      </c>
      <c r="M4" s="7"/>
      <c r="N4" s="7"/>
    </row>
    <row r="5" spans="1:14" x14ac:dyDescent="0.25">
      <c r="A5" s="4" t="s">
        <v>22</v>
      </c>
      <c r="B5" s="4" t="s">
        <v>112</v>
      </c>
      <c r="C5" s="4" t="s">
        <v>24</v>
      </c>
      <c r="D5" s="4" t="s">
        <v>34</v>
      </c>
      <c r="E5" s="4" t="s">
        <v>35</v>
      </c>
      <c r="F5" s="4" t="s">
        <v>27</v>
      </c>
      <c r="G5" s="4" t="s">
        <v>28</v>
      </c>
      <c r="H5" s="4" t="s">
        <v>32</v>
      </c>
      <c r="I5" s="5">
        <v>1000000000</v>
      </c>
      <c r="J5" s="5">
        <v>1000000000</v>
      </c>
      <c r="K5" s="6">
        <f t="shared" si="0"/>
        <v>1000</v>
      </c>
      <c r="L5" s="6">
        <f t="shared" si="0"/>
        <v>1000</v>
      </c>
      <c r="M5" s="4"/>
      <c r="N5" s="4"/>
    </row>
  </sheetData>
  <autoFilter ref="A2:N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workbookViewId="0">
      <pane ySplit="2" topLeftCell="A3" activePane="bottomLeft" state="frozen"/>
      <selection pane="bottomLeft" activeCell="B1" sqref="B1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54</v>
      </c>
      <c r="C1" s="1" t="s">
        <v>2</v>
      </c>
      <c r="D1" s="2" t="s">
        <v>113</v>
      </c>
      <c r="E1" s="1" t="s">
        <v>4</v>
      </c>
      <c r="F1" s="2" t="s">
        <v>114</v>
      </c>
      <c r="G1" s="1" t="s">
        <v>6</v>
      </c>
      <c r="H1" s="2" t="s">
        <v>115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116</v>
      </c>
      <c r="C3" s="4" t="s">
        <v>24</v>
      </c>
      <c r="D3" s="4" t="s">
        <v>117</v>
      </c>
      <c r="E3" s="4" t="s">
        <v>26</v>
      </c>
      <c r="F3" s="4" t="s">
        <v>27</v>
      </c>
      <c r="G3" s="4" t="s">
        <v>28</v>
      </c>
      <c r="H3" s="4" t="s">
        <v>29</v>
      </c>
      <c r="I3" s="5">
        <v>1000000000</v>
      </c>
      <c r="J3" s="5">
        <v>1000000000</v>
      </c>
      <c r="K3" s="6">
        <f t="shared" ref="K3:K12" si="0">I3/1000000</f>
        <v>1000</v>
      </c>
      <c r="L3" s="6">
        <f t="shared" ref="L3:L12" si="1">J3/1000000</f>
        <v>1000</v>
      </c>
      <c r="M3" s="4"/>
      <c r="N3" s="4"/>
    </row>
    <row r="4" spans="1:14" x14ac:dyDescent="0.25">
      <c r="A4" s="7" t="s">
        <v>22</v>
      </c>
      <c r="B4" s="7" t="s">
        <v>112</v>
      </c>
      <c r="C4" s="7" t="s">
        <v>24</v>
      </c>
      <c r="D4" s="7" t="s">
        <v>117</v>
      </c>
      <c r="E4" s="7" t="s">
        <v>31</v>
      </c>
      <c r="F4" s="7" t="s">
        <v>80</v>
      </c>
      <c r="G4" s="7" t="s">
        <v>28</v>
      </c>
      <c r="H4" s="7" t="s">
        <v>32</v>
      </c>
      <c r="I4" s="8">
        <v>500000000</v>
      </c>
      <c r="J4" s="8">
        <v>500000000</v>
      </c>
      <c r="K4" s="9">
        <f t="shared" si="0"/>
        <v>500</v>
      </c>
      <c r="L4" s="9">
        <f t="shared" si="1"/>
        <v>500</v>
      </c>
      <c r="M4" s="7"/>
      <c r="N4" s="7"/>
    </row>
    <row r="5" spans="1:14" x14ac:dyDescent="0.25">
      <c r="A5" s="10" t="s">
        <v>36</v>
      </c>
      <c r="B5" s="10" t="s">
        <v>84</v>
      </c>
      <c r="C5" s="10" t="s">
        <v>38</v>
      </c>
      <c r="D5" s="10" t="s">
        <v>39</v>
      </c>
      <c r="E5" s="10" t="s">
        <v>26</v>
      </c>
      <c r="F5" s="10" t="s">
        <v>27</v>
      </c>
      <c r="G5" s="10" t="s">
        <v>28</v>
      </c>
      <c r="H5" s="10" t="s">
        <v>29</v>
      </c>
      <c r="I5" s="11">
        <v>1000000000</v>
      </c>
      <c r="J5" s="11">
        <v>1000000000</v>
      </c>
      <c r="K5" s="12">
        <f t="shared" si="0"/>
        <v>1000</v>
      </c>
      <c r="L5" s="12">
        <f t="shared" si="1"/>
        <v>1000</v>
      </c>
      <c r="M5" s="10" t="s">
        <v>118</v>
      </c>
      <c r="N5" s="10" t="s">
        <v>119</v>
      </c>
    </row>
    <row r="6" spans="1:14" x14ac:dyDescent="0.25">
      <c r="A6" s="13" t="s">
        <v>36</v>
      </c>
      <c r="B6" s="13" t="s">
        <v>61</v>
      </c>
      <c r="C6" s="13" t="s">
        <v>38</v>
      </c>
      <c r="D6" s="13" t="s">
        <v>39</v>
      </c>
      <c r="E6" s="13" t="s">
        <v>31</v>
      </c>
      <c r="F6" s="13" t="s">
        <v>80</v>
      </c>
      <c r="G6" s="13" t="s">
        <v>28</v>
      </c>
      <c r="H6" s="13" t="s">
        <v>32</v>
      </c>
      <c r="I6" s="14">
        <v>500000000</v>
      </c>
      <c r="J6" s="14">
        <v>500000000</v>
      </c>
      <c r="K6" s="15">
        <f t="shared" si="0"/>
        <v>500</v>
      </c>
      <c r="L6" s="15">
        <f t="shared" si="1"/>
        <v>500</v>
      </c>
      <c r="M6" s="13" t="s">
        <v>120</v>
      </c>
      <c r="N6" s="13" t="s">
        <v>119</v>
      </c>
    </row>
    <row r="7" spans="1:14" x14ac:dyDescent="0.25">
      <c r="A7" s="10" t="s">
        <v>36</v>
      </c>
      <c r="B7" s="10" t="s">
        <v>121</v>
      </c>
      <c r="C7" s="10" t="s">
        <v>38</v>
      </c>
      <c r="D7" s="10" t="s">
        <v>39</v>
      </c>
      <c r="E7" s="10" t="s">
        <v>26</v>
      </c>
      <c r="F7" s="10" t="s">
        <v>27</v>
      </c>
      <c r="G7" s="10" t="s">
        <v>28</v>
      </c>
      <c r="H7" s="10" t="s">
        <v>29</v>
      </c>
      <c r="I7" s="11">
        <v>1000000000</v>
      </c>
      <c r="J7" s="11">
        <v>1000000000</v>
      </c>
      <c r="K7" s="12">
        <f t="shared" si="0"/>
        <v>1000</v>
      </c>
      <c r="L7" s="12">
        <f t="shared" si="1"/>
        <v>1000</v>
      </c>
      <c r="M7" s="10" t="s">
        <v>122</v>
      </c>
      <c r="N7" s="10" t="s">
        <v>78</v>
      </c>
    </row>
    <row r="8" spans="1:14" x14ac:dyDescent="0.25">
      <c r="A8" s="13" t="s">
        <v>36</v>
      </c>
      <c r="B8" s="13" t="s">
        <v>58</v>
      </c>
      <c r="C8" s="13" t="s">
        <v>38</v>
      </c>
      <c r="D8" s="13" t="s">
        <v>39</v>
      </c>
      <c r="E8" s="13" t="s">
        <v>31</v>
      </c>
      <c r="F8" s="13" t="s">
        <v>80</v>
      </c>
      <c r="G8" s="13" t="s">
        <v>28</v>
      </c>
      <c r="H8" s="13" t="s">
        <v>32</v>
      </c>
      <c r="I8" s="14">
        <v>500000000</v>
      </c>
      <c r="J8" s="14">
        <v>500000000</v>
      </c>
      <c r="K8" s="15">
        <f t="shared" si="0"/>
        <v>500</v>
      </c>
      <c r="L8" s="15">
        <f t="shared" si="1"/>
        <v>500</v>
      </c>
      <c r="M8" s="13" t="s">
        <v>123</v>
      </c>
      <c r="N8" s="13" t="s">
        <v>78</v>
      </c>
    </row>
    <row r="9" spans="1:14" x14ac:dyDescent="0.25">
      <c r="A9" s="10" t="s">
        <v>36</v>
      </c>
      <c r="B9" s="10" t="s">
        <v>124</v>
      </c>
      <c r="C9" s="10" t="s">
        <v>38</v>
      </c>
      <c r="D9" s="10" t="s">
        <v>39</v>
      </c>
      <c r="E9" s="10" t="s">
        <v>26</v>
      </c>
      <c r="F9" s="10" t="s">
        <v>27</v>
      </c>
      <c r="G9" s="10" t="s">
        <v>28</v>
      </c>
      <c r="H9" s="10" t="s">
        <v>29</v>
      </c>
      <c r="I9" s="11">
        <v>1000000000</v>
      </c>
      <c r="J9" s="11">
        <v>1000000000</v>
      </c>
      <c r="K9" s="12">
        <f t="shared" si="0"/>
        <v>1000</v>
      </c>
      <c r="L9" s="12">
        <f t="shared" si="1"/>
        <v>1000</v>
      </c>
      <c r="M9" s="10" t="s">
        <v>125</v>
      </c>
      <c r="N9" s="10" t="s">
        <v>63</v>
      </c>
    </row>
    <row r="10" spans="1:14" x14ac:dyDescent="0.25">
      <c r="A10" s="13" t="s">
        <v>36</v>
      </c>
      <c r="B10" s="13" t="s">
        <v>96</v>
      </c>
      <c r="C10" s="13" t="s">
        <v>38</v>
      </c>
      <c r="D10" s="13" t="s">
        <v>39</v>
      </c>
      <c r="E10" s="13" t="s">
        <v>31</v>
      </c>
      <c r="F10" s="13" t="s">
        <v>80</v>
      </c>
      <c r="G10" s="13" t="s">
        <v>28</v>
      </c>
      <c r="H10" s="13" t="s">
        <v>32</v>
      </c>
      <c r="I10" s="14">
        <v>500000000</v>
      </c>
      <c r="J10" s="14">
        <v>500000000</v>
      </c>
      <c r="K10" s="15">
        <f t="shared" si="0"/>
        <v>500</v>
      </c>
      <c r="L10" s="15">
        <f t="shared" si="1"/>
        <v>500</v>
      </c>
      <c r="M10" s="13" t="s">
        <v>126</v>
      </c>
      <c r="N10" s="13" t="s">
        <v>63</v>
      </c>
    </row>
    <row r="11" spans="1:14" x14ac:dyDescent="0.25">
      <c r="A11" s="10" t="s">
        <v>36</v>
      </c>
      <c r="B11" s="10" t="s">
        <v>94</v>
      </c>
      <c r="C11" s="10" t="s">
        <v>38</v>
      </c>
      <c r="D11" s="10" t="s">
        <v>39</v>
      </c>
      <c r="E11" s="10" t="s">
        <v>26</v>
      </c>
      <c r="F11" s="10" t="s">
        <v>27</v>
      </c>
      <c r="G11" s="10" t="s">
        <v>28</v>
      </c>
      <c r="H11" s="10" t="s">
        <v>29</v>
      </c>
      <c r="I11" s="11">
        <v>1000000000</v>
      </c>
      <c r="J11" s="11">
        <v>1000000000</v>
      </c>
      <c r="K11" s="12">
        <f t="shared" si="0"/>
        <v>1000</v>
      </c>
      <c r="L11" s="12">
        <f t="shared" si="1"/>
        <v>1000</v>
      </c>
      <c r="M11" s="10" t="s">
        <v>127</v>
      </c>
      <c r="N11" s="10" t="s">
        <v>75</v>
      </c>
    </row>
    <row r="12" spans="1:14" x14ac:dyDescent="0.25">
      <c r="A12" s="13" t="s">
        <v>36</v>
      </c>
      <c r="B12" s="13" t="s">
        <v>64</v>
      </c>
      <c r="C12" s="13" t="s">
        <v>38</v>
      </c>
      <c r="D12" s="13" t="s">
        <v>39</v>
      </c>
      <c r="E12" s="13" t="s">
        <v>31</v>
      </c>
      <c r="F12" s="13" t="s">
        <v>80</v>
      </c>
      <c r="G12" s="13" t="s">
        <v>28</v>
      </c>
      <c r="H12" s="13" t="s">
        <v>32</v>
      </c>
      <c r="I12" s="14">
        <v>500000000</v>
      </c>
      <c r="J12" s="14">
        <v>500000000</v>
      </c>
      <c r="K12" s="15">
        <f t="shared" si="0"/>
        <v>500</v>
      </c>
      <c r="L12" s="15">
        <f t="shared" si="1"/>
        <v>500</v>
      </c>
      <c r="M12" s="13" t="s">
        <v>128</v>
      </c>
      <c r="N12" s="13" t="s">
        <v>75</v>
      </c>
    </row>
  </sheetData>
  <autoFilter ref="A2:N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129</v>
      </c>
      <c r="C1" s="1" t="s">
        <v>2</v>
      </c>
      <c r="D1" s="2" t="s">
        <v>130</v>
      </c>
      <c r="E1" s="1" t="s">
        <v>4</v>
      </c>
      <c r="F1" s="2" t="s">
        <v>114</v>
      </c>
      <c r="G1" s="1" t="s">
        <v>6</v>
      </c>
      <c r="H1" s="2" t="s">
        <v>115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111</v>
      </c>
      <c r="C3" s="4" t="s">
        <v>24</v>
      </c>
      <c r="D3" s="4" t="s">
        <v>117</v>
      </c>
      <c r="E3" s="4" t="s">
        <v>26</v>
      </c>
      <c r="F3" s="4" t="s">
        <v>27</v>
      </c>
      <c r="G3" s="4" t="s">
        <v>28</v>
      </c>
      <c r="H3" s="4" t="s">
        <v>29</v>
      </c>
      <c r="I3" s="5">
        <v>500000000</v>
      </c>
      <c r="J3" s="5">
        <v>500000000</v>
      </c>
      <c r="K3" s="6">
        <f t="shared" ref="K3:L10" si="0">I3/1000000</f>
        <v>500</v>
      </c>
      <c r="L3" s="6">
        <f t="shared" si="0"/>
        <v>500</v>
      </c>
      <c r="M3" s="4"/>
      <c r="N3" s="4"/>
    </row>
    <row r="4" spans="1:14" x14ac:dyDescent="0.25">
      <c r="A4" s="7" t="s">
        <v>22</v>
      </c>
      <c r="B4" s="7" t="s">
        <v>109</v>
      </c>
      <c r="C4" s="7" t="s">
        <v>24</v>
      </c>
      <c r="D4" s="7" t="s">
        <v>117</v>
      </c>
      <c r="E4" s="7" t="s">
        <v>31</v>
      </c>
      <c r="F4" s="7" t="s">
        <v>80</v>
      </c>
      <c r="G4" s="7" t="s">
        <v>28</v>
      </c>
      <c r="H4" s="7" t="s">
        <v>32</v>
      </c>
      <c r="I4" s="8">
        <v>200000000</v>
      </c>
      <c r="J4" s="8">
        <v>200000000</v>
      </c>
      <c r="K4" s="9">
        <f t="shared" si="0"/>
        <v>200</v>
      </c>
      <c r="L4" s="9">
        <f t="shared" si="0"/>
        <v>200</v>
      </c>
      <c r="M4" s="7"/>
      <c r="N4" s="7"/>
    </row>
    <row r="5" spans="1:14" x14ac:dyDescent="0.25">
      <c r="A5" s="10" t="s">
        <v>36</v>
      </c>
      <c r="B5" s="10" t="s">
        <v>61</v>
      </c>
      <c r="C5" s="10" t="s">
        <v>38</v>
      </c>
      <c r="D5" s="10" t="s">
        <v>39</v>
      </c>
      <c r="E5" s="10" t="s">
        <v>31</v>
      </c>
      <c r="F5" s="10" t="s">
        <v>80</v>
      </c>
      <c r="G5" s="10" t="s">
        <v>28</v>
      </c>
      <c r="H5" s="10" t="s">
        <v>32</v>
      </c>
      <c r="I5" s="11">
        <v>200000000</v>
      </c>
      <c r="J5" s="11">
        <v>200000000</v>
      </c>
      <c r="K5" s="12">
        <f t="shared" si="0"/>
        <v>200</v>
      </c>
      <c r="L5" s="12">
        <f t="shared" si="0"/>
        <v>200</v>
      </c>
      <c r="M5" s="10" t="s">
        <v>131</v>
      </c>
      <c r="N5" s="10" t="s">
        <v>54</v>
      </c>
    </row>
    <row r="6" spans="1:14" x14ac:dyDescent="0.25">
      <c r="A6" s="13" t="s">
        <v>36</v>
      </c>
      <c r="B6" s="13" t="s">
        <v>84</v>
      </c>
      <c r="C6" s="13" t="s">
        <v>38</v>
      </c>
      <c r="D6" s="13" t="s">
        <v>39</v>
      </c>
      <c r="E6" s="13" t="s">
        <v>26</v>
      </c>
      <c r="F6" s="13" t="s">
        <v>27</v>
      </c>
      <c r="G6" s="13" t="s">
        <v>28</v>
      </c>
      <c r="H6" s="13" t="s">
        <v>29</v>
      </c>
      <c r="I6" s="14">
        <v>500000000</v>
      </c>
      <c r="J6" s="14">
        <v>500000000</v>
      </c>
      <c r="K6" s="15">
        <f t="shared" si="0"/>
        <v>500</v>
      </c>
      <c r="L6" s="15">
        <f t="shared" si="0"/>
        <v>500</v>
      </c>
      <c r="M6" s="13" t="s">
        <v>125</v>
      </c>
      <c r="N6" s="13" t="s">
        <v>54</v>
      </c>
    </row>
    <row r="7" spans="1:14" x14ac:dyDescent="0.25">
      <c r="A7" s="10" t="s">
        <v>36</v>
      </c>
      <c r="B7" s="10" t="s">
        <v>46</v>
      </c>
      <c r="C7" s="10" t="s">
        <v>38</v>
      </c>
      <c r="D7" s="10" t="s">
        <v>39</v>
      </c>
      <c r="E7" s="10" t="s">
        <v>31</v>
      </c>
      <c r="F7" s="10" t="s">
        <v>80</v>
      </c>
      <c r="G7" s="10" t="s">
        <v>28</v>
      </c>
      <c r="H7" s="10" t="s">
        <v>32</v>
      </c>
      <c r="I7" s="11">
        <v>200000000</v>
      </c>
      <c r="J7" s="11">
        <v>200000000</v>
      </c>
      <c r="K7" s="12">
        <f t="shared" si="0"/>
        <v>200</v>
      </c>
      <c r="L7" s="12">
        <f t="shared" si="0"/>
        <v>200</v>
      </c>
      <c r="M7" s="10" t="s">
        <v>132</v>
      </c>
      <c r="N7" s="10" t="s">
        <v>119</v>
      </c>
    </row>
    <row r="8" spans="1:14" x14ac:dyDescent="0.25">
      <c r="A8" s="13" t="s">
        <v>36</v>
      </c>
      <c r="B8" s="13" t="s">
        <v>102</v>
      </c>
      <c r="C8" s="13" t="s">
        <v>38</v>
      </c>
      <c r="D8" s="13" t="s">
        <v>39</v>
      </c>
      <c r="E8" s="13" t="s">
        <v>26</v>
      </c>
      <c r="F8" s="13" t="s">
        <v>27</v>
      </c>
      <c r="G8" s="13" t="s">
        <v>28</v>
      </c>
      <c r="H8" s="13" t="s">
        <v>29</v>
      </c>
      <c r="I8" s="14">
        <v>500000000</v>
      </c>
      <c r="J8" s="14">
        <v>500000000</v>
      </c>
      <c r="K8" s="15">
        <f t="shared" si="0"/>
        <v>500</v>
      </c>
      <c r="L8" s="15">
        <f t="shared" si="0"/>
        <v>500</v>
      </c>
      <c r="M8" s="13" t="s">
        <v>133</v>
      </c>
      <c r="N8" s="13" t="s">
        <v>119</v>
      </c>
    </row>
    <row r="9" spans="1:14" x14ac:dyDescent="0.25">
      <c r="A9" s="10" t="s">
        <v>36</v>
      </c>
      <c r="B9" s="10" t="s">
        <v>52</v>
      </c>
      <c r="C9" s="10" t="s">
        <v>38</v>
      </c>
      <c r="D9" s="10" t="s">
        <v>39</v>
      </c>
      <c r="E9" s="10" t="s">
        <v>31</v>
      </c>
      <c r="F9" s="10" t="s">
        <v>80</v>
      </c>
      <c r="G9" s="10" t="s">
        <v>28</v>
      </c>
      <c r="H9" s="10" t="s">
        <v>32</v>
      </c>
      <c r="I9" s="11">
        <v>200000000</v>
      </c>
      <c r="J9" s="11">
        <v>200000000</v>
      </c>
      <c r="K9" s="12">
        <f t="shared" si="0"/>
        <v>200</v>
      </c>
      <c r="L9" s="12">
        <f t="shared" si="0"/>
        <v>200</v>
      </c>
      <c r="M9" s="10" t="s">
        <v>134</v>
      </c>
      <c r="N9" s="10" t="s">
        <v>41</v>
      </c>
    </row>
    <row r="10" spans="1:14" x14ac:dyDescent="0.25">
      <c r="A10" s="13" t="s">
        <v>36</v>
      </c>
      <c r="B10" s="13" t="s">
        <v>92</v>
      </c>
      <c r="C10" s="13" t="s">
        <v>38</v>
      </c>
      <c r="D10" s="13" t="s">
        <v>39</v>
      </c>
      <c r="E10" s="13" t="s">
        <v>26</v>
      </c>
      <c r="F10" s="13" t="s">
        <v>27</v>
      </c>
      <c r="G10" s="13" t="s">
        <v>28</v>
      </c>
      <c r="H10" s="13" t="s">
        <v>29</v>
      </c>
      <c r="I10" s="14">
        <v>500000000</v>
      </c>
      <c r="J10" s="14">
        <v>500000000</v>
      </c>
      <c r="K10" s="15">
        <f t="shared" si="0"/>
        <v>500</v>
      </c>
      <c r="L10" s="15">
        <f t="shared" si="0"/>
        <v>500</v>
      </c>
      <c r="M10" s="13" t="s">
        <v>135</v>
      </c>
      <c r="N10" s="13" t="s">
        <v>41</v>
      </c>
    </row>
  </sheetData>
  <autoFilter ref="A2:N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3"/>
  <sheetViews>
    <sheetView workbookViewId="0">
      <pane ySplit="2" topLeftCell="A3" activePane="bottomLeft" state="frozen"/>
      <selection pane="bottomLeft" activeCell="H28" sqref="H28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48</v>
      </c>
      <c r="C1" s="1" t="s">
        <v>2</v>
      </c>
      <c r="D1" s="2" t="s">
        <v>136</v>
      </c>
      <c r="E1" s="1" t="s">
        <v>4</v>
      </c>
      <c r="F1" s="2" t="s">
        <v>114</v>
      </c>
      <c r="G1" s="1" t="s">
        <v>6</v>
      </c>
      <c r="H1" s="2" t="s">
        <v>115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137</v>
      </c>
      <c r="C3" s="4" t="s">
        <v>24</v>
      </c>
      <c r="D3" s="4" t="s">
        <v>117</v>
      </c>
      <c r="E3" s="4" t="s">
        <v>26</v>
      </c>
      <c r="F3" s="4" t="s">
        <v>27</v>
      </c>
      <c r="G3" s="4" t="s">
        <v>28</v>
      </c>
      <c r="H3" s="4" t="s">
        <v>29</v>
      </c>
      <c r="I3" s="5">
        <v>1000000000</v>
      </c>
      <c r="J3" s="5">
        <v>500000000</v>
      </c>
      <c r="K3" s="6">
        <f t="shared" ref="K3:K23" si="0">I3/1000000</f>
        <v>1000</v>
      </c>
      <c r="L3" s="6">
        <f t="shared" ref="L3:L23" si="1">J3/1000000</f>
        <v>500</v>
      </c>
      <c r="M3" s="4"/>
      <c r="N3" s="4"/>
    </row>
    <row r="4" spans="1:14" x14ac:dyDescent="0.25">
      <c r="A4" s="7" t="s">
        <v>22</v>
      </c>
      <c r="B4" s="7" t="s">
        <v>112</v>
      </c>
      <c r="C4" s="7" t="s">
        <v>24</v>
      </c>
      <c r="D4" s="7" t="s">
        <v>117</v>
      </c>
      <c r="E4" s="7" t="s">
        <v>31</v>
      </c>
      <c r="F4" s="7" t="s">
        <v>80</v>
      </c>
      <c r="G4" s="7" t="s">
        <v>28</v>
      </c>
      <c r="H4" s="7" t="s">
        <v>265</v>
      </c>
      <c r="I4" s="8">
        <v>500000000</v>
      </c>
      <c r="J4" s="8">
        <v>500000000</v>
      </c>
      <c r="K4" s="9">
        <f t="shared" si="0"/>
        <v>500</v>
      </c>
      <c r="L4" s="9">
        <f t="shared" si="1"/>
        <v>500</v>
      </c>
      <c r="M4" s="7"/>
      <c r="N4" s="7"/>
    </row>
    <row r="5" spans="1:14" x14ac:dyDescent="0.25">
      <c r="A5" s="4" t="s">
        <v>22</v>
      </c>
      <c r="B5" s="4" t="s">
        <v>116</v>
      </c>
      <c r="C5" s="4" t="s">
        <v>24</v>
      </c>
      <c r="D5" s="4" t="s">
        <v>117</v>
      </c>
      <c r="E5" s="4" t="s">
        <v>35</v>
      </c>
      <c r="F5" s="4" t="s">
        <v>80</v>
      </c>
      <c r="G5" s="4" t="s">
        <v>28</v>
      </c>
      <c r="H5" s="4" t="s">
        <v>139</v>
      </c>
      <c r="I5" s="5">
        <v>50000000</v>
      </c>
      <c r="J5" s="5">
        <v>50000000</v>
      </c>
      <c r="K5" s="6">
        <f t="shared" si="0"/>
        <v>50</v>
      </c>
      <c r="L5" s="6">
        <f t="shared" si="1"/>
        <v>50</v>
      </c>
      <c r="M5" s="4"/>
      <c r="N5" s="4"/>
    </row>
    <row r="6" spans="1:14" x14ac:dyDescent="0.25">
      <c r="A6" s="10" t="s">
        <v>36</v>
      </c>
      <c r="B6" s="10" t="s">
        <v>121</v>
      </c>
      <c r="C6" s="10" t="s">
        <v>38</v>
      </c>
      <c r="D6" s="10" t="s">
        <v>39</v>
      </c>
      <c r="E6" s="10" t="s">
        <v>26</v>
      </c>
      <c r="F6" s="10" t="s">
        <v>27</v>
      </c>
      <c r="G6" s="10" t="s">
        <v>28</v>
      </c>
      <c r="H6" s="10" t="s">
        <v>140</v>
      </c>
      <c r="I6" s="11">
        <v>1000000000</v>
      </c>
      <c r="J6" s="11">
        <v>1000000000</v>
      </c>
      <c r="K6" s="12">
        <f t="shared" si="0"/>
        <v>1000</v>
      </c>
      <c r="L6" s="12">
        <f t="shared" si="1"/>
        <v>1000</v>
      </c>
      <c r="M6" s="10" t="s">
        <v>141</v>
      </c>
      <c r="N6" s="10" t="s">
        <v>78</v>
      </c>
    </row>
    <row r="7" spans="1:14" x14ac:dyDescent="0.25">
      <c r="A7" s="13" t="s">
        <v>36</v>
      </c>
      <c r="B7" s="13" t="s">
        <v>142</v>
      </c>
      <c r="C7" s="13" t="s">
        <v>38</v>
      </c>
      <c r="D7" s="13" t="s">
        <v>39</v>
      </c>
      <c r="E7" s="13" t="s">
        <v>31</v>
      </c>
      <c r="F7" s="13" t="s">
        <v>80</v>
      </c>
      <c r="G7" s="13" t="s">
        <v>28</v>
      </c>
      <c r="H7" s="13" t="s">
        <v>138</v>
      </c>
      <c r="I7" s="14">
        <v>500000000</v>
      </c>
      <c r="J7" s="14">
        <v>500000000</v>
      </c>
      <c r="K7" s="15">
        <f t="shared" si="0"/>
        <v>500</v>
      </c>
      <c r="L7" s="15">
        <f t="shared" si="1"/>
        <v>500</v>
      </c>
      <c r="M7" s="13" t="s">
        <v>143</v>
      </c>
      <c r="N7" s="13" t="s">
        <v>78</v>
      </c>
    </row>
    <row r="8" spans="1:14" x14ac:dyDescent="0.25">
      <c r="A8" s="10" t="s">
        <v>36</v>
      </c>
      <c r="B8" s="10" t="s">
        <v>100</v>
      </c>
      <c r="C8" s="10" t="s">
        <v>38</v>
      </c>
      <c r="D8" s="10" t="s">
        <v>39</v>
      </c>
      <c r="E8" s="10" t="s">
        <v>26</v>
      </c>
      <c r="F8" s="10" t="s">
        <v>27</v>
      </c>
      <c r="G8" s="10" t="s">
        <v>28</v>
      </c>
      <c r="H8" s="10" t="s">
        <v>140</v>
      </c>
      <c r="I8" s="11">
        <v>1000000000</v>
      </c>
      <c r="J8" s="11">
        <v>1000000000</v>
      </c>
      <c r="K8" s="12">
        <f t="shared" si="0"/>
        <v>1000</v>
      </c>
      <c r="L8" s="12">
        <f t="shared" si="1"/>
        <v>1000</v>
      </c>
      <c r="M8" s="10" t="s">
        <v>144</v>
      </c>
      <c r="N8" s="10" t="s">
        <v>119</v>
      </c>
    </row>
    <row r="9" spans="1:14" x14ac:dyDescent="0.25">
      <c r="A9" s="13" t="s">
        <v>36</v>
      </c>
      <c r="B9" s="13" t="s">
        <v>49</v>
      </c>
      <c r="C9" s="13" t="s">
        <v>38</v>
      </c>
      <c r="D9" s="13" t="s">
        <v>39</v>
      </c>
      <c r="E9" s="13" t="s">
        <v>31</v>
      </c>
      <c r="F9" s="13" t="s">
        <v>80</v>
      </c>
      <c r="G9" s="13" t="s">
        <v>28</v>
      </c>
      <c r="H9" s="13" t="s">
        <v>138</v>
      </c>
      <c r="I9" s="14">
        <v>500000000</v>
      </c>
      <c r="J9" s="14">
        <v>500000000</v>
      </c>
      <c r="K9" s="15">
        <f t="shared" si="0"/>
        <v>500</v>
      </c>
      <c r="L9" s="15">
        <f t="shared" si="1"/>
        <v>500</v>
      </c>
      <c r="M9" s="13" t="s">
        <v>145</v>
      </c>
      <c r="N9" s="13" t="s">
        <v>119</v>
      </c>
    </row>
    <row r="10" spans="1:14" x14ac:dyDescent="0.25">
      <c r="A10" s="10" t="s">
        <v>36</v>
      </c>
      <c r="B10" s="10" t="s">
        <v>146</v>
      </c>
      <c r="C10" s="10" t="s">
        <v>38</v>
      </c>
      <c r="D10" s="10" t="s">
        <v>39</v>
      </c>
      <c r="E10" s="10" t="s">
        <v>26</v>
      </c>
      <c r="F10" s="10" t="s">
        <v>27</v>
      </c>
      <c r="G10" s="10" t="s">
        <v>28</v>
      </c>
      <c r="H10" s="10" t="s">
        <v>140</v>
      </c>
      <c r="I10" s="11">
        <v>1000000000</v>
      </c>
      <c r="J10" s="11">
        <v>1000000000</v>
      </c>
      <c r="K10" s="12">
        <f t="shared" si="0"/>
        <v>1000</v>
      </c>
      <c r="L10" s="12">
        <f t="shared" si="1"/>
        <v>1000</v>
      </c>
      <c r="M10" s="10" t="s">
        <v>147</v>
      </c>
      <c r="N10" s="10" t="s">
        <v>69</v>
      </c>
    </row>
    <row r="11" spans="1:14" x14ac:dyDescent="0.25">
      <c r="A11" s="13" t="s">
        <v>36</v>
      </c>
      <c r="B11" s="13" t="s">
        <v>148</v>
      </c>
      <c r="C11" s="13" t="s">
        <v>38</v>
      </c>
      <c r="D11" s="13" t="s">
        <v>39</v>
      </c>
      <c r="E11" s="13" t="s">
        <v>26</v>
      </c>
      <c r="F11" s="13" t="s">
        <v>27</v>
      </c>
      <c r="G11" s="13" t="s">
        <v>28</v>
      </c>
      <c r="H11" s="13" t="s">
        <v>140</v>
      </c>
      <c r="I11" s="14">
        <v>1000000000</v>
      </c>
      <c r="J11" s="14">
        <v>1000000000</v>
      </c>
      <c r="K11" s="15">
        <f t="shared" si="0"/>
        <v>1000</v>
      </c>
      <c r="L11" s="15">
        <f t="shared" si="1"/>
        <v>1000</v>
      </c>
      <c r="M11" s="13" t="s">
        <v>149</v>
      </c>
      <c r="N11" s="13" t="s">
        <v>45</v>
      </c>
    </row>
    <row r="12" spans="1:14" x14ac:dyDescent="0.25">
      <c r="A12" s="10" t="s">
        <v>36</v>
      </c>
      <c r="B12" s="10" t="s">
        <v>150</v>
      </c>
      <c r="C12" s="10" t="s">
        <v>38</v>
      </c>
      <c r="D12" s="10" t="s">
        <v>39</v>
      </c>
      <c r="E12" s="10" t="s">
        <v>26</v>
      </c>
      <c r="F12" s="10" t="s">
        <v>27</v>
      </c>
      <c r="G12" s="10" t="s">
        <v>28</v>
      </c>
      <c r="H12" s="10" t="s">
        <v>140</v>
      </c>
      <c r="I12" s="11">
        <v>1000000000</v>
      </c>
      <c r="J12" s="11">
        <v>1000000000</v>
      </c>
      <c r="K12" s="12">
        <f t="shared" si="0"/>
        <v>1000</v>
      </c>
      <c r="L12" s="12">
        <f t="shared" si="1"/>
        <v>1000</v>
      </c>
      <c r="M12" s="10" t="s">
        <v>151</v>
      </c>
      <c r="N12" s="10" t="s">
        <v>72</v>
      </c>
    </row>
    <row r="13" spans="1:14" x14ac:dyDescent="0.25">
      <c r="A13" s="13" t="s">
        <v>36</v>
      </c>
      <c r="B13" s="13" t="s">
        <v>152</v>
      </c>
      <c r="C13" s="13" t="s">
        <v>38</v>
      </c>
      <c r="D13" s="13" t="s">
        <v>39</v>
      </c>
      <c r="E13" s="13" t="s">
        <v>31</v>
      </c>
      <c r="F13" s="13" t="s">
        <v>80</v>
      </c>
      <c r="G13" s="13" t="s">
        <v>28</v>
      </c>
      <c r="H13" s="13" t="s">
        <v>138</v>
      </c>
      <c r="I13" s="14">
        <v>500000000</v>
      </c>
      <c r="J13" s="14">
        <v>500000000</v>
      </c>
      <c r="K13" s="15">
        <f t="shared" si="0"/>
        <v>500</v>
      </c>
      <c r="L13" s="15">
        <f t="shared" si="1"/>
        <v>500</v>
      </c>
      <c r="M13" s="13" t="s">
        <v>153</v>
      </c>
      <c r="N13" s="13" t="s">
        <v>72</v>
      </c>
    </row>
    <row r="14" spans="1:14" x14ac:dyDescent="0.25">
      <c r="A14" s="10" t="s">
        <v>36</v>
      </c>
      <c r="B14" s="10" t="s">
        <v>154</v>
      </c>
      <c r="C14" s="10" t="s">
        <v>38</v>
      </c>
      <c r="D14" s="10" t="s">
        <v>39</v>
      </c>
      <c r="E14" s="10" t="s">
        <v>26</v>
      </c>
      <c r="F14" s="10" t="s">
        <v>27</v>
      </c>
      <c r="G14" s="10" t="s">
        <v>28</v>
      </c>
      <c r="H14" s="10" t="s">
        <v>140</v>
      </c>
      <c r="I14" s="11">
        <v>1000000000</v>
      </c>
      <c r="J14" s="11">
        <v>1000000000</v>
      </c>
      <c r="K14" s="12">
        <f t="shared" si="0"/>
        <v>1000</v>
      </c>
      <c r="L14" s="12">
        <f t="shared" si="1"/>
        <v>1000</v>
      </c>
      <c r="M14" s="10" t="s">
        <v>155</v>
      </c>
      <c r="N14" s="10" t="s">
        <v>51</v>
      </c>
    </row>
    <row r="15" spans="1:14" x14ac:dyDescent="0.25">
      <c r="A15" s="13" t="s">
        <v>36</v>
      </c>
      <c r="B15" s="13" t="s">
        <v>156</v>
      </c>
      <c r="C15" s="13" t="s">
        <v>38</v>
      </c>
      <c r="D15" s="13" t="s">
        <v>39</v>
      </c>
      <c r="E15" s="13" t="s">
        <v>31</v>
      </c>
      <c r="F15" s="13" t="s">
        <v>80</v>
      </c>
      <c r="G15" s="13" t="s">
        <v>28</v>
      </c>
      <c r="H15" s="13" t="s">
        <v>138</v>
      </c>
      <c r="I15" s="14">
        <v>500000000</v>
      </c>
      <c r="J15" s="14">
        <v>500000000</v>
      </c>
      <c r="K15" s="15">
        <f t="shared" si="0"/>
        <v>500</v>
      </c>
      <c r="L15" s="15">
        <f t="shared" si="1"/>
        <v>500</v>
      </c>
      <c r="M15" s="13" t="s">
        <v>157</v>
      </c>
      <c r="N15" s="13" t="s">
        <v>51</v>
      </c>
    </row>
    <row r="16" spans="1:14" x14ac:dyDescent="0.25">
      <c r="A16" s="10" t="s">
        <v>36</v>
      </c>
      <c r="B16" s="10" t="s">
        <v>158</v>
      </c>
      <c r="C16" s="10" t="s">
        <v>38</v>
      </c>
      <c r="D16" s="10" t="s">
        <v>39</v>
      </c>
      <c r="E16" s="10" t="s">
        <v>26</v>
      </c>
      <c r="F16" s="10" t="s">
        <v>27</v>
      </c>
      <c r="G16" s="10" t="s">
        <v>28</v>
      </c>
      <c r="H16" s="10" t="s">
        <v>140</v>
      </c>
      <c r="I16" s="11">
        <v>1000000000</v>
      </c>
      <c r="J16" s="11">
        <v>1000000000</v>
      </c>
      <c r="K16" s="12">
        <f t="shared" si="0"/>
        <v>1000</v>
      </c>
      <c r="L16" s="12">
        <f t="shared" si="1"/>
        <v>1000</v>
      </c>
      <c r="M16" s="10" t="s">
        <v>159</v>
      </c>
      <c r="N16" s="10" t="s">
        <v>57</v>
      </c>
    </row>
    <row r="17" spans="1:14" x14ac:dyDescent="0.25">
      <c r="A17" s="13" t="s">
        <v>36</v>
      </c>
      <c r="B17" s="13" t="s">
        <v>160</v>
      </c>
      <c r="C17" s="13" t="s">
        <v>38</v>
      </c>
      <c r="D17" s="13" t="s">
        <v>39</v>
      </c>
      <c r="E17" s="13" t="s">
        <v>31</v>
      </c>
      <c r="F17" s="13" t="s">
        <v>80</v>
      </c>
      <c r="G17" s="13" t="s">
        <v>28</v>
      </c>
      <c r="H17" s="13" t="s">
        <v>138</v>
      </c>
      <c r="I17" s="14">
        <v>500000000</v>
      </c>
      <c r="J17" s="14">
        <v>500000000</v>
      </c>
      <c r="K17" s="15">
        <f t="shared" si="0"/>
        <v>500</v>
      </c>
      <c r="L17" s="15">
        <f t="shared" si="1"/>
        <v>500</v>
      </c>
      <c r="M17" s="13" t="s">
        <v>161</v>
      </c>
      <c r="N17" s="13" t="s">
        <v>57</v>
      </c>
    </row>
    <row r="18" spans="1:14" x14ac:dyDescent="0.25">
      <c r="A18" s="10" t="s">
        <v>36</v>
      </c>
      <c r="B18" s="10" t="s">
        <v>162</v>
      </c>
      <c r="C18" s="10" t="s">
        <v>38</v>
      </c>
      <c r="D18" s="10" t="s">
        <v>39</v>
      </c>
      <c r="E18" s="10" t="s">
        <v>26</v>
      </c>
      <c r="F18" s="10" t="s">
        <v>27</v>
      </c>
      <c r="G18" s="10" t="s">
        <v>28</v>
      </c>
      <c r="H18" s="10" t="s">
        <v>140</v>
      </c>
      <c r="I18" s="11">
        <v>1000000000</v>
      </c>
      <c r="J18" s="11">
        <v>1000000000</v>
      </c>
      <c r="K18" s="12">
        <f t="shared" si="0"/>
        <v>1000</v>
      </c>
      <c r="L18" s="12">
        <f t="shared" si="1"/>
        <v>1000</v>
      </c>
      <c r="M18" s="10" t="s">
        <v>163</v>
      </c>
      <c r="N18" s="10" t="s">
        <v>63</v>
      </c>
    </row>
    <row r="19" spans="1:14" x14ac:dyDescent="0.25">
      <c r="A19" s="13" t="s">
        <v>36</v>
      </c>
      <c r="B19" s="13" t="s">
        <v>42</v>
      </c>
      <c r="C19" s="13" t="s">
        <v>38</v>
      </c>
      <c r="D19" s="13" t="s">
        <v>39</v>
      </c>
      <c r="E19" s="13" t="s">
        <v>31</v>
      </c>
      <c r="F19" s="13" t="s">
        <v>80</v>
      </c>
      <c r="G19" s="13" t="s">
        <v>28</v>
      </c>
      <c r="H19" s="13" t="s">
        <v>138</v>
      </c>
      <c r="I19" s="14">
        <v>500000000</v>
      </c>
      <c r="J19" s="14">
        <v>500000000</v>
      </c>
      <c r="K19" s="15">
        <f t="shared" si="0"/>
        <v>500</v>
      </c>
      <c r="L19" s="15">
        <f t="shared" si="1"/>
        <v>500</v>
      </c>
      <c r="M19" s="13" t="s">
        <v>164</v>
      </c>
      <c r="N19" s="13" t="s">
        <v>63</v>
      </c>
    </row>
    <row r="20" spans="1:14" x14ac:dyDescent="0.25">
      <c r="A20" s="10" t="s">
        <v>36</v>
      </c>
      <c r="B20" s="10" t="s">
        <v>165</v>
      </c>
      <c r="C20" s="10" t="s">
        <v>38</v>
      </c>
      <c r="D20" s="10" t="s">
        <v>39</v>
      </c>
      <c r="E20" s="10" t="s">
        <v>26</v>
      </c>
      <c r="F20" s="10" t="s">
        <v>27</v>
      </c>
      <c r="G20" s="10" t="s">
        <v>28</v>
      </c>
      <c r="H20" s="10" t="s">
        <v>140</v>
      </c>
      <c r="I20" s="11">
        <v>1000000000</v>
      </c>
      <c r="J20" s="11">
        <v>1000000000</v>
      </c>
      <c r="K20" s="12">
        <f t="shared" si="0"/>
        <v>1000</v>
      </c>
      <c r="L20" s="12">
        <f t="shared" si="1"/>
        <v>1000</v>
      </c>
      <c r="M20" s="10" t="s">
        <v>166</v>
      </c>
      <c r="N20" s="10" t="s">
        <v>41</v>
      </c>
    </row>
    <row r="21" spans="1:14" x14ac:dyDescent="0.25">
      <c r="A21" s="13" t="s">
        <v>36</v>
      </c>
      <c r="B21" s="13" t="s">
        <v>61</v>
      </c>
      <c r="C21" s="13" t="s">
        <v>38</v>
      </c>
      <c r="D21" s="13" t="s">
        <v>39</v>
      </c>
      <c r="E21" s="13" t="s">
        <v>31</v>
      </c>
      <c r="F21" s="13" t="s">
        <v>80</v>
      </c>
      <c r="G21" s="13" t="s">
        <v>28</v>
      </c>
      <c r="H21" s="13" t="s">
        <v>138</v>
      </c>
      <c r="I21" s="14">
        <v>500000000</v>
      </c>
      <c r="J21" s="14">
        <v>500000000</v>
      </c>
      <c r="K21" s="15">
        <f t="shared" si="0"/>
        <v>500</v>
      </c>
      <c r="L21" s="15">
        <f t="shared" si="1"/>
        <v>500</v>
      </c>
      <c r="M21" s="13" t="s">
        <v>167</v>
      </c>
      <c r="N21" s="13" t="s">
        <v>41</v>
      </c>
    </row>
    <row r="22" spans="1:14" x14ac:dyDescent="0.25">
      <c r="A22" s="10" t="s">
        <v>36</v>
      </c>
      <c r="B22" s="10" t="s">
        <v>168</v>
      </c>
      <c r="C22" s="10" t="s">
        <v>38</v>
      </c>
      <c r="D22" s="10" t="s">
        <v>39</v>
      </c>
      <c r="E22" s="10" t="s">
        <v>31</v>
      </c>
      <c r="F22" s="10" t="s">
        <v>80</v>
      </c>
      <c r="G22" s="10" t="s">
        <v>28</v>
      </c>
      <c r="H22" s="10" t="s">
        <v>138</v>
      </c>
      <c r="I22" s="11">
        <v>500000000</v>
      </c>
      <c r="J22" s="11">
        <v>500000000</v>
      </c>
      <c r="K22" s="12">
        <f t="shared" si="0"/>
        <v>500</v>
      </c>
      <c r="L22" s="12">
        <f t="shared" si="1"/>
        <v>500</v>
      </c>
      <c r="M22" s="10" t="s">
        <v>169</v>
      </c>
      <c r="N22" s="10" t="s">
        <v>69</v>
      </c>
    </row>
    <row r="23" spans="1:14" x14ac:dyDescent="0.25">
      <c r="A23" s="13" t="s">
        <v>36</v>
      </c>
      <c r="B23" s="13" t="s">
        <v>79</v>
      </c>
      <c r="C23" s="13" t="s">
        <v>38</v>
      </c>
      <c r="D23" s="13" t="s">
        <v>39</v>
      </c>
      <c r="E23" s="13" t="s">
        <v>31</v>
      </c>
      <c r="F23" s="13" t="s">
        <v>80</v>
      </c>
      <c r="G23" s="13" t="s">
        <v>28</v>
      </c>
      <c r="H23" s="13" t="s">
        <v>138</v>
      </c>
      <c r="I23" s="14">
        <v>500000000</v>
      </c>
      <c r="J23" s="14">
        <v>500000000</v>
      </c>
      <c r="K23" s="15">
        <f t="shared" si="0"/>
        <v>500</v>
      </c>
      <c r="L23" s="15">
        <f t="shared" si="1"/>
        <v>500</v>
      </c>
      <c r="M23" s="13" t="s">
        <v>170</v>
      </c>
      <c r="N23" s="13" t="s">
        <v>45</v>
      </c>
    </row>
  </sheetData>
  <autoFilter ref="A2:N2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5"/>
  <sheetViews>
    <sheetView workbookViewId="0">
      <pane ySplit="2" topLeftCell="A3" activePane="bottomLeft" state="frozen"/>
      <selection pane="bottomLeft" activeCell="K31" sqref="K31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63</v>
      </c>
      <c r="C1" s="1" t="s">
        <v>2</v>
      </c>
      <c r="D1" s="2" t="s">
        <v>171</v>
      </c>
      <c r="E1" s="1" t="s">
        <v>4</v>
      </c>
      <c r="F1" s="2" t="s">
        <v>114</v>
      </c>
      <c r="G1" s="1" t="s">
        <v>6</v>
      </c>
      <c r="H1" s="2" t="s">
        <v>115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109</v>
      </c>
      <c r="C3" s="4" t="s">
        <v>24</v>
      </c>
      <c r="D3" s="4" t="s">
        <v>117</v>
      </c>
      <c r="E3" s="4" t="s">
        <v>26</v>
      </c>
      <c r="F3" s="4" t="s">
        <v>27</v>
      </c>
      <c r="G3" s="4" t="s">
        <v>28</v>
      </c>
      <c r="H3" s="4" t="s">
        <v>29</v>
      </c>
      <c r="I3" s="11">
        <f t="shared" ref="I3:I25" si="0">K3*1000000</f>
        <v>500000000</v>
      </c>
      <c r="J3" s="11">
        <f t="shared" ref="J3:J25" si="1">L3*1000000</f>
        <v>500000000</v>
      </c>
      <c r="K3" s="6">
        <v>500</v>
      </c>
      <c r="L3" s="6">
        <v>500</v>
      </c>
      <c r="M3" s="4"/>
      <c r="N3" s="4"/>
    </row>
    <row r="4" spans="1:14" x14ac:dyDescent="0.25">
      <c r="A4" s="7" t="s">
        <v>22</v>
      </c>
      <c r="B4" s="7" t="s">
        <v>111</v>
      </c>
      <c r="C4" s="7" t="s">
        <v>24</v>
      </c>
      <c r="D4" s="7" t="s">
        <v>117</v>
      </c>
      <c r="E4" s="7" t="s">
        <v>31</v>
      </c>
      <c r="F4" s="7" t="s">
        <v>80</v>
      </c>
      <c r="G4" s="7" t="s">
        <v>28</v>
      </c>
      <c r="H4" s="7" t="s">
        <v>172</v>
      </c>
      <c r="I4" s="11">
        <f t="shared" si="0"/>
        <v>500000000</v>
      </c>
      <c r="J4" s="11">
        <f t="shared" si="1"/>
        <v>500000000</v>
      </c>
      <c r="K4" s="9">
        <v>500</v>
      </c>
      <c r="L4" s="9">
        <v>500</v>
      </c>
      <c r="M4" s="7"/>
      <c r="N4" s="7"/>
    </row>
    <row r="5" spans="1:14" x14ac:dyDescent="0.25">
      <c r="A5" s="10" t="s">
        <v>36</v>
      </c>
      <c r="B5" s="10" t="s">
        <v>173</v>
      </c>
      <c r="C5" s="10" t="s">
        <v>38</v>
      </c>
      <c r="D5" s="10" t="s">
        <v>39</v>
      </c>
      <c r="E5" s="10" t="s">
        <v>31</v>
      </c>
      <c r="F5" s="10" t="s">
        <v>80</v>
      </c>
      <c r="G5" s="10" t="s">
        <v>28</v>
      </c>
      <c r="H5" s="10" t="s">
        <v>172</v>
      </c>
      <c r="I5" s="11">
        <f t="shared" si="0"/>
        <v>500000000</v>
      </c>
      <c r="J5" s="11">
        <f t="shared" si="1"/>
        <v>500000000</v>
      </c>
      <c r="K5" s="12">
        <v>500</v>
      </c>
      <c r="L5" s="12">
        <v>500</v>
      </c>
      <c r="M5" s="10" t="s">
        <v>174</v>
      </c>
      <c r="N5" s="10" t="s">
        <v>57</v>
      </c>
    </row>
    <row r="6" spans="1:14" x14ac:dyDescent="0.25">
      <c r="A6" s="13" t="s">
        <v>36</v>
      </c>
      <c r="B6" s="13" t="s">
        <v>175</v>
      </c>
      <c r="C6" s="13" t="s">
        <v>38</v>
      </c>
      <c r="D6" s="13" t="s">
        <v>39</v>
      </c>
      <c r="E6" s="13" t="s">
        <v>26</v>
      </c>
      <c r="F6" s="13" t="s">
        <v>27</v>
      </c>
      <c r="G6" s="13" t="s">
        <v>28</v>
      </c>
      <c r="H6" s="13" t="s">
        <v>29</v>
      </c>
      <c r="I6" s="11">
        <f t="shared" si="0"/>
        <v>500000000</v>
      </c>
      <c r="J6" s="11">
        <f t="shared" si="1"/>
        <v>500000000</v>
      </c>
      <c r="K6" s="15">
        <v>500</v>
      </c>
      <c r="L6" s="15">
        <v>500</v>
      </c>
      <c r="M6" s="13" t="s">
        <v>176</v>
      </c>
      <c r="N6" s="13" t="s">
        <v>78</v>
      </c>
    </row>
    <row r="7" spans="1:14" x14ac:dyDescent="0.25">
      <c r="A7" s="10" t="s">
        <v>36</v>
      </c>
      <c r="B7" s="10" t="s">
        <v>177</v>
      </c>
      <c r="C7" s="10" t="s">
        <v>38</v>
      </c>
      <c r="D7" s="10" t="s">
        <v>39</v>
      </c>
      <c r="E7" s="10" t="s">
        <v>31</v>
      </c>
      <c r="F7" s="10" t="s">
        <v>80</v>
      </c>
      <c r="G7" s="10" t="s">
        <v>28</v>
      </c>
      <c r="H7" s="10" t="s">
        <v>172</v>
      </c>
      <c r="I7" s="11">
        <f t="shared" si="0"/>
        <v>500000000</v>
      </c>
      <c r="J7" s="11">
        <f t="shared" si="1"/>
        <v>500000000</v>
      </c>
      <c r="K7" s="12">
        <v>500</v>
      </c>
      <c r="L7" s="12">
        <v>500</v>
      </c>
      <c r="M7" s="10" t="s">
        <v>178</v>
      </c>
      <c r="N7" s="10" t="s">
        <v>78</v>
      </c>
    </row>
    <row r="8" spans="1:14" x14ac:dyDescent="0.25">
      <c r="A8" s="13" t="s">
        <v>36</v>
      </c>
      <c r="B8" s="13" t="s">
        <v>92</v>
      </c>
      <c r="C8" s="13" t="s">
        <v>38</v>
      </c>
      <c r="D8" s="13" t="s">
        <v>39</v>
      </c>
      <c r="E8" s="13" t="s">
        <v>31</v>
      </c>
      <c r="F8" s="13" t="s">
        <v>80</v>
      </c>
      <c r="G8" s="13" t="s">
        <v>28</v>
      </c>
      <c r="H8" s="13" t="s">
        <v>172</v>
      </c>
      <c r="I8" s="11">
        <f t="shared" si="0"/>
        <v>500000000</v>
      </c>
      <c r="J8" s="11">
        <f t="shared" si="1"/>
        <v>500000000</v>
      </c>
      <c r="K8" s="15">
        <v>500</v>
      </c>
      <c r="L8" s="15">
        <v>500</v>
      </c>
      <c r="M8" s="13" t="s">
        <v>179</v>
      </c>
      <c r="N8" s="13" t="s">
        <v>119</v>
      </c>
    </row>
    <row r="9" spans="1:14" x14ac:dyDescent="0.25">
      <c r="A9" s="10" t="s">
        <v>36</v>
      </c>
      <c r="B9" s="10" t="s">
        <v>180</v>
      </c>
      <c r="C9" s="10" t="s">
        <v>38</v>
      </c>
      <c r="D9" s="10" t="s">
        <v>39</v>
      </c>
      <c r="E9" s="10" t="s">
        <v>26</v>
      </c>
      <c r="F9" s="10" t="s">
        <v>27</v>
      </c>
      <c r="G9" s="10" t="s">
        <v>28</v>
      </c>
      <c r="H9" s="10" t="s">
        <v>29</v>
      </c>
      <c r="I9" s="11">
        <f t="shared" si="0"/>
        <v>500000000</v>
      </c>
      <c r="J9" s="11">
        <f t="shared" si="1"/>
        <v>500000000</v>
      </c>
      <c r="K9" s="12">
        <v>500</v>
      </c>
      <c r="L9" s="12">
        <v>500</v>
      </c>
      <c r="M9" s="10" t="s">
        <v>125</v>
      </c>
      <c r="N9" s="10" t="s">
        <v>54</v>
      </c>
    </row>
    <row r="10" spans="1:14" x14ac:dyDescent="0.25">
      <c r="A10" s="13" t="s">
        <v>36</v>
      </c>
      <c r="B10" s="13" t="s">
        <v>102</v>
      </c>
      <c r="C10" s="13" t="s">
        <v>38</v>
      </c>
      <c r="D10" s="13" t="s">
        <v>39</v>
      </c>
      <c r="E10" s="13" t="s">
        <v>31</v>
      </c>
      <c r="F10" s="13" t="s">
        <v>80</v>
      </c>
      <c r="G10" s="13" t="s">
        <v>28</v>
      </c>
      <c r="H10" s="13" t="s">
        <v>172</v>
      </c>
      <c r="I10" s="11">
        <f t="shared" si="0"/>
        <v>500000000</v>
      </c>
      <c r="J10" s="11">
        <f t="shared" si="1"/>
        <v>500000000</v>
      </c>
      <c r="K10" s="15">
        <v>500</v>
      </c>
      <c r="L10" s="15">
        <v>500</v>
      </c>
      <c r="M10" s="13" t="s">
        <v>126</v>
      </c>
      <c r="N10" s="13" t="s">
        <v>54</v>
      </c>
    </row>
    <row r="11" spans="1:14" x14ac:dyDescent="0.25">
      <c r="A11" s="10" t="s">
        <v>36</v>
      </c>
      <c r="B11" s="10" t="s">
        <v>181</v>
      </c>
      <c r="C11" s="10" t="s">
        <v>38</v>
      </c>
      <c r="D11" s="10" t="s">
        <v>39</v>
      </c>
      <c r="E11" s="10" t="s">
        <v>26</v>
      </c>
      <c r="F11" s="10" t="s">
        <v>27</v>
      </c>
      <c r="G11" s="10" t="s">
        <v>28</v>
      </c>
      <c r="H11" s="10" t="s">
        <v>29</v>
      </c>
      <c r="I11" s="11">
        <f t="shared" si="0"/>
        <v>500000000</v>
      </c>
      <c r="J11" s="11">
        <f t="shared" si="1"/>
        <v>500000000</v>
      </c>
      <c r="K11" s="12">
        <v>500</v>
      </c>
      <c r="L11" s="12">
        <v>500</v>
      </c>
      <c r="M11" s="10" t="s">
        <v>182</v>
      </c>
      <c r="N11" s="10" t="s">
        <v>48</v>
      </c>
    </row>
    <row r="12" spans="1:14" x14ac:dyDescent="0.25">
      <c r="A12" s="13" t="s">
        <v>36</v>
      </c>
      <c r="B12" s="13" t="s">
        <v>160</v>
      </c>
      <c r="C12" s="13" t="s">
        <v>38</v>
      </c>
      <c r="D12" s="13" t="s">
        <v>39</v>
      </c>
      <c r="E12" s="13" t="s">
        <v>31</v>
      </c>
      <c r="F12" s="13" t="s">
        <v>80</v>
      </c>
      <c r="G12" s="13" t="s">
        <v>28</v>
      </c>
      <c r="H12" s="13" t="s">
        <v>172</v>
      </c>
      <c r="I12" s="11">
        <f t="shared" si="0"/>
        <v>500000000</v>
      </c>
      <c r="J12" s="11">
        <f t="shared" si="1"/>
        <v>500000000</v>
      </c>
      <c r="K12" s="15">
        <v>500</v>
      </c>
      <c r="L12" s="15">
        <v>500</v>
      </c>
      <c r="M12" s="13" t="s">
        <v>183</v>
      </c>
      <c r="N12" s="13" t="s">
        <v>48</v>
      </c>
    </row>
    <row r="13" spans="1:14" x14ac:dyDescent="0.25">
      <c r="A13" s="10" t="s">
        <v>36</v>
      </c>
      <c r="B13" s="10" t="s">
        <v>76</v>
      </c>
      <c r="C13" s="10" t="s">
        <v>38</v>
      </c>
      <c r="D13" s="10" t="s">
        <v>39</v>
      </c>
      <c r="E13" s="10" t="s">
        <v>26</v>
      </c>
      <c r="F13" s="10" t="s">
        <v>27</v>
      </c>
      <c r="G13" s="10" t="s">
        <v>28</v>
      </c>
      <c r="H13" s="10" t="s">
        <v>29</v>
      </c>
      <c r="I13" s="11">
        <f t="shared" si="0"/>
        <v>500000000</v>
      </c>
      <c r="J13" s="11">
        <f t="shared" si="1"/>
        <v>500000000</v>
      </c>
      <c r="K13" s="12">
        <v>500</v>
      </c>
      <c r="L13" s="12">
        <v>500</v>
      </c>
      <c r="M13" s="10" t="s">
        <v>184</v>
      </c>
      <c r="N13" s="10" t="s">
        <v>41</v>
      </c>
    </row>
    <row r="14" spans="1:14" x14ac:dyDescent="0.25">
      <c r="A14" s="13" t="s">
        <v>36</v>
      </c>
      <c r="B14" s="13" t="s">
        <v>185</v>
      </c>
      <c r="C14" s="13" t="s">
        <v>38</v>
      </c>
      <c r="D14" s="13" t="s">
        <v>39</v>
      </c>
      <c r="E14" s="13" t="s">
        <v>31</v>
      </c>
      <c r="F14" s="13" t="s">
        <v>80</v>
      </c>
      <c r="G14" s="13" t="s">
        <v>28</v>
      </c>
      <c r="H14" s="13" t="s">
        <v>172</v>
      </c>
      <c r="I14" s="11">
        <f t="shared" si="0"/>
        <v>500000000</v>
      </c>
      <c r="J14" s="11">
        <f t="shared" si="1"/>
        <v>500000000</v>
      </c>
      <c r="K14" s="15">
        <v>500</v>
      </c>
      <c r="L14" s="15">
        <v>500</v>
      </c>
      <c r="M14" s="13" t="s">
        <v>186</v>
      </c>
      <c r="N14" s="13" t="s">
        <v>41</v>
      </c>
    </row>
    <row r="15" spans="1:14" x14ac:dyDescent="0.25">
      <c r="A15" s="10" t="s">
        <v>36</v>
      </c>
      <c r="B15" s="10" t="s">
        <v>148</v>
      </c>
      <c r="C15" s="10" t="s">
        <v>38</v>
      </c>
      <c r="D15" s="10" t="s">
        <v>39</v>
      </c>
      <c r="E15" s="10" t="s">
        <v>26</v>
      </c>
      <c r="F15" s="10" t="s">
        <v>27</v>
      </c>
      <c r="G15" s="10" t="s">
        <v>28</v>
      </c>
      <c r="H15" s="10" t="s">
        <v>29</v>
      </c>
      <c r="I15" s="11">
        <f t="shared" si="0"/>
        <v>500000000</v>
      </c>
      <c r="J15" s="11">
        <f t="shared" si="1"/>
        <v>500000000</v>
      </c>
      <c r="K15" s="12">
        <v>500</v>
      </c>
      <c r="L15" s="12">
        <v>500</v>
      </c>
      <c r="M15" s="10" t="s">
        <v>187</v>
      </c>
      <c r="N15" s="10" t="s">
        <v>66</v>
      </c>
    </row>
    <row r="16" spans="1:14" x14ac:dyDescent="0.25">
      <c r="A16" s="13" t="s">
        <v>36</v>
      </c>
      <c r="B16" s="13" t="s">
        <v>84</v>
      </c>
      <c r="C16" s="13" t="s">
        <v>38</v>
      </c>
      <c r="D16" s="13" t="s">
        <v>39</v>
      </c>
      <c r="E16" s="13" t="s">
        <v>31</v>
      </c>
      <c r="F16" s="13" t="s">
        <v>80</v>
      </c>
      <c r="G16" s="13" t="s">
        <v>28</v>
      </c>
      <c r="H16" s="13" t="s">
        <v>172</v>
      </c>
      <c r="I16" s="11">
        <f t="shared" si="0"/>
        <v>500000000</v>
      </c>
      <c r="J16" s="11">
        <f t="shared" si="1"/>
        <v>500000000</v>
      </c>
      <c r="K16" s="15">
        <v>500</v>
      </c>
      <c r="L16" s="15">
        <v>500</v>
      </c>
      <c r="M16" s="13" t="s">
        <v>188</v>
      </c>
      <c r="N16" s="13" t="s">
        <v>66</v>
      </c>
    </row>
    <row r="17" spans="1:14" x14ac:dyDescent="0.25">
      <c r="A17" s="10" t="s">
        <v>36</v>
      </c>
      <c r="B17" s="10" t="s">
        <v>142</v>
      </c>
      <c r="C17" s="10" t="s">
        <v>38</v>
      </c>
      <c r="D17" s="10" t="s">
        <v>39</v>
      </c>
      <c r="E17" s="10" t="s">
        <v>26</v>
      </c>
      <c r="F17" s="10" t="s">
        <v>27</v>
      </c>
      <c r="G17" s="10" t="s">
        <v>28</v>
      </c>
      <c r="H17" s="10" t="s">
        <v>29</v>
      </c>
      <c r="I17" s="11">
        <f t="shared" si="0"/>
        <v>500000000</v>
      </c>
      <c r="J17" s="11">
        <f t="shared" si="1"/>
        <v>500000000</v>
      </c>
      <c r="K17" s="12">
        <v>500</v>
      </c>
      <c r="L17" s="12">
        <v>500</v>
      </c>
      <c r="M17" s="10" t="s">
        <v>189</v>
      </c>
      <c r="N17" s="10" t="s">
        <v>69</v>
      </c>
    </row>
    <row r="18" spans="1:14" x14ac:dyDescent="0.25">
      <c r="A18" s="13" t="s">
        <v>36</v>
      </c>
      <c r="B18" s="13" t="s">
        <v>88</v>
      </c>
      <c r="C18" s="13" t="s">
        <v>38</v>
      </c>
      <c r="D18" s="13" t="s">
        <v>39</v>
      </c>
      <c r="E18" s="13" t="s">
        <v>31</v>
      </c>
      <c r="F18" s="13" t="s">
        <v>80</v>
      </c>
      <c r="G18" s="13" t="s">
        <v>28</v>
      </c>
      <c r="H18" s="13" t="s">
        <v>172</v>
      </c>
      <c r="I18" s="11">
        <f t="shared" si="0"/>
        <v>500000000</v>
      </c>
      <c r="J18" s="11">
        <f t="shared" si="1"/>
        <v>500000000</v>
      </c>
      <c r="K18" s="15">
        <v>500</v>
      </c>
      <c r="L18" s="15">
        <v>500</v>
      </c>
      <c r="M18" s="13" t="s">
        <v>190</v>
      </c>
      <c r="N18" s="13" t="s">
        <v>69</v>
      </c>
    </row>
    <row r="19" spans="1:14" x14ac:dyDescent="0.25">
      <c r="A19" s="10" t="s">
        <v>36</v>
      </c>
      <c r="B19" s="10" t="s">
        <v>191</v>
      </c>
      <c r="C19" s="10" t="s">
        <v>38</v>
      </c>
      <c r="D19" s="10" t="s">
        <v>39</v>
      </c>
      <c r="E19" s="10" t="s">
        <v>26</v>
      </c>
      <c r="F19" s="10" t="s">
        <v>27</v>
      </c>
      <c r="G19" s="10" t="s">
        <v>28</v>
      </c>
      <c r="H19" s="10" t="s">
        <v>29</v>
      </c>
      <c r="I19" s="11">
        <f t="shared" si="0"/>
        <v>500000000</v>
      </c>
      <c r="J19" s="11">
        <f t="shared" si="1"/>
        <v>500000000</v>
      </c>
      <c r="K19" s="12">
        <v>500</v>
      </c>
      <c r="L19" s="12">
        <v>500</v>
      </c>
      <c r="M19" s="10" t="s">
        <v>192</v>
      </c>
      <c r="N19" s="10" t="s">
        <v>45</v>
      </c>
    </row>
    <row r="20" spans="1:14" x14ac:dyDescent="0.25">
      <c r="A20" s="13" t="s">
        <v>36</v>
      </c>
      <c r="B20" s="13" t="s">
        <v>46</v>
      </c>
      <c r="C20" s="13" t="s">
        <v>38</v>
      </c>
      <c r="D20" s="13" t="s">
        <v>39</v>
      </c>
      <c r="E20" s="13" t="s">
        <v>31</v>
      </c>
      <c r="F20" s="13" t="s">
        <v>80</v>
      </c>
      <c r="G20" s="13" t="s">
        <v>28</v>
      </c>
      <c r="H20" s="13" t="s">
        <v>172</v>
      </c>
      <c r="I20" s="11">
        <f t="shared" si="0"/>
        <v>500000000</v>
      </c>
      <c r="J20" s="11">
        <f t="shared" si="1"/>
        <v>500000000</v>
      </c>
      <c r="K20" s="15">
        <v>500</v>
      </c>
      <c r="L20" s="15">
        <v>500</v>
      </c>
      <c r="M20" s="13" t="s">
        <v>193</v>
      </c>
      <c r="N20" s="13" t="s">
        <v>45</v>
      </c>
    </row>
    <row r="21" spans="1:14" x14ac:dyDescent="0.25">
      <c r="A21" s="10" t="s">
        <v>36</v>
      </c>
      <c r="B21" s="10" t="s">
        <v>194</v>
      </c>
      <c r="C21" s="10" t="s">
        <v>38</v>
      </c>
      <c r="D21" s="10" t="s">
        <v>39</v>
      </c>
      <c r="E21" s="10" t="s">
        <v>26</v>
      </c>
      <c r="F21" s="10" t="s">
        <v>27</v>
      </c>
      <c r="G21" s="10" t="s">
        <v>28</v>
      </c>
      <c r="H21" s="10" t="s">
        <v>29</v>
      </c>
      <c r="I21" s="11">
        <f t="shared" si="0"/>
        <v>500000000</v>
      </c>
      <c r="J21" s="11">
        <f t="shared" si="1"/>
        <v>500000000</v>
      </c>
      <c r="K21" s="12">
        <v>500</v>
      </c>
      <c r="L21" s="12">
        <v>500</v>
      </c>
      <c r="M21" s="10" t="s">
        <v>195</v>
      </c>
      <c r="N21" s="10" t="s">
        <v>72</v>
      </c>
    </row>
    <row r="22" spans="1:14" x14ac:dyDescent="0.25">
      <c r="A22" s="13" t="s">
        <v>36</v>
      </c>
      <c r="B22" s="13" t="s">
        <v>73</v>
      </c>
      <c r="C22" s="13" t="s">
        <v>38</v>
      </c>
      <c r="D22" s="13" t="s">
        <v>39</v>
      </c>
      <c r="E22" s="13" t="s">
        <v>31</v>
      </c>
      <c r="F22" s="13" t="s">
        <v>80</v>
      </c>
      <c r="G22" s="13" t="s">
        <v>28</v>
      </c>
      <c r="H22" s="13" t="s">
        <v>172</v>
      </c>
      <c r="I22" s="11">
        <f t="shared" si="0"/>
        <v>500000000</v>
      </c>
      <c r="J22" s="11">
        <f t="shared" si="1"/>
        <v>500000000</v>
      </c>
      <c r="K22" s="15">
        <v>500</v>
      </c>
      <c r="L22" s="15">
        <v>500</v>
      </c>
      <c r="M22" s="13" t="s">
        <v>196</v>
      </c>
      <c r="N22" s="13" t="s">
        <v>72</v>
      </c>
    </row>
    <row r="23" spans="1:14" x14ac:dyDescent="0.25">
      <c r="A23" s="10" t="s">
        <v>36</v>
      </c>
      <c r="B23" s="10" t="s">
        <v>162</v>
      </c>
      <c r="C23" s="10" t="s">
        <v>38</v>
      </c>
      <c r="D23" s="10" t="s">
        <v>39</v>
      </c>
      <c r="E23" s="10" t="s">
        <v>26</v>
      </c>
      <c r="F23" s="10" t="s">
        <v>27</v>
      </c>
      <c r="G23" s="10" t="s">
        <v>28</v>
      </c>
      <c r="H23" s="10" t="s">
        <v>29</v>
      </c>
      <c r="I23" s="11">
        <f t="shared" si="0"/>
        <v>500000000</v>
      </c>
      <c r="J23" s="11">
        <f t="shared" si="1"/>
        <v>500000000</v>
      </c>
      <c r="K23" s="12">
        <v>500</v>
      </c>
      <c r="L23" s="12">
        <v>500</v>
      </c>
      <c r="M23" s="10" t="s">
        <v>197</v>
      </c>
      <c r="N23" s="10" t="s">
        <v>51</v>
      </c>
    </row>
    <row r="24" spans="1:14" x14ac:dyDescent="0.25">
      <c r="A24" s="13" t="s">
        <v>36</v>
      </c>
      <c r="B24" s="13" t="s">
        <v>52</v>
      </c>
      <c r="C24" s="13" t="s">
        <v>38</v>
      </c>
      <c r="D24" s="13" t="s">
        <v>39</v>
      </c>
      <c r="E24" s="13" t="s">
        <v>31</v>
      </c>
      <c r="F24" s="13" t="s">
        <v>80</v>
      </c>
      <c r="G24" s="13" t="s">
        <v>28</v>
      </c>
      <c r="H24" s="13" t="s">
        <v>172</v>
      </c>
      <c r="I24" s="11">
        <f t="shared" si="0"/>
        <v>500000000</v>
      </c>
      <c r="J24" s="11">
        <f t="shared" si="1"/>
        <v>500000000</v>
      </c>
      <c r="K24" s="15">
        <v>500</v>
      </c>
      <c r="L24" s="15">
        <v>500</v>
      </c>
      <c r="M24" s="13" t="s">
        <v>198</v>
      </c>
      <c r="N24" s="13" t="s">
        <v>51</v>
      </c>
    </row>
    <row r="25" spans="1:14" x14ac:dyDescent="0.25">
      <c r="A25" s="10" t="s">
        <v>36</v>
      </c>
      <c r="B25" s="10" t="s">
        <v>199</v>
      </c>
      <c r="C25" s="10" t="s">
        <v>38</v>
      </c>
      <c r="D25" s="10" t="s">
        <v>39</v>
      </c>
      <c r="E25" s="10" t="s">
        <v>26</v>
      </c>
      <c r="F25" s="10" t="s">
        <v>27</v>
      </c>
      <c r="G25" s="10" t="s">
        <v>28</v>
      </c>
      <c r="H25" s="10" t="s">
        <v>29</v>
      </c>
      <c r="I25" s="11">
        <f t="shared" si="0"/>
        <v>500000000</v>
      </c>
      <c r="J25" s="11">
        <f t="shared" si="1"/>
        <v>500000000</v>
      </c>
      <c r="K25" s="12">
        <v>500</v>
      </c>
      <c r="L25" s="12">
        <v>500</v>
      </c>
      <c r="M25" s="10" t="s">
        <v>200</v>
      </c>
      <c r="N25" s="10" t="s">
        <v>57</v>
      </c>
    </row>
  </sheetData>
  <autoFilter ref="A2:N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66</v>
      </c>
      <c r="C1" s="1" t="s">
        <v>2</v>
      </c>
      <c r="D1" s="2" t="s">
        <v>201</v>
      </c>
      <c r="E1" s="1" t="s">
        <v>4</v>
      </c>
      <c r="F1" s="2" t="s">
        <v>114</v>
      </c>
      <c r="G1" s="1" t="s">
        <v>6</v>
      </c>
      <c r="H1" s="2" t="s">
        <v>115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109</v>
      </c>
      <c r="C3" s="4" t="s">
        <v>24</v>
      </c>
      <c r="D3" s="4" t="s">
        <v>117</v>
      </c>
      <c r="E3" s="4" t="s">
        <v>31</v>
      </c>
      <c r="F3" s="4" t="s">
        <v>80</v>
      </c>
      <c r="G3" s="4" t="s">
        <v>28</v>
      </c>
      <c r="H3" s="4" t="s">
        <v>202</v>
      </c>
      <c r="I3" s="5">
        <v>500000000</v>
      </c>
      <c r="J3" s="5">
        <v>500000000</v>
      </c>
      <c r="K3" s="6">
        <f t="shared" ref="K3:L10" si="0">I3/1000000</f>
        <v>500</v>
      </c>
      <c r="L3" s="6">
        <f t="shared" si="0"/>
        <v>500</v>
      </c>
      <c r="M3" s="4"/>
      <c r="N3" s="4"/>
    </row>
    <row r="4" spans="1:14" x14ac:dyDescent="0.25">
      <c r="A4" s="7" t="s">
        <v>22</v>
      </c>
      <c r="B4" s="7" t="s">
        <v>111</v>
      </c>
      <c r="C4" s="7" t="s">
        <v>24</v>
      </c>
      <c r="D4" s="7" t="s">
        <v>117</v>
      </c>
      <c r="E4" s="7" t="s">
        <v>26</v>
      </c>
      <c r="F4" s="7" t="s">
        <v>27</v>
      </c>
      <c r="G4" s="7" t="s">
        <v>28</v>
      </c>
      <c r="H4" s="7" t="s">
        <v>203</v>
      </c>
      <c r="I4" s="8">
        <v>1000000000</v>
      </c>
      <c r="J4" s="8">
        <v>1000000000</v>
      </c>
      <c r="K4" s="9">
        <f t="shared" si="0"/>
        <v>1000</v>
      </c>
      <c r="L4" s="9">
        <f t="shared" si="0"/>
        <v>1000</v>
      </c>
      <c r="M4" s="7"/>
      <c r="N4" s="7"/>
    </row>
    <row r="5" spans="1:14" x14ac:dyDescent="0.25">
      <c r="A5" s="10" t="s">
        <v>36</v>
      </c>
      <c r="B5" s="10" t="s">
        <v>58</v>
      </c>
      <c r="C5" s="10" t="s">
        <v>38</v>
      </c>
      <c r="D5" s="10" t="s">
        <v>39</v>
      </c>
      <c r="E5" s="10" t="s">
        <v>31</v>
      </c>
      <c r="F5" s="10" t="s">
        <v>80</v>
      </c>
      <c r="G5" s="10" t="s">
        <v>28</v>
      </c>
      <c r="H5" s="10" t="s">
        <v>202</v>
      </c>
      <c r="I5" s="11">
        <v>500000000</v>
      </c>
      <c r="J5" s="11">
        <v>500000000</v>
      </c>
      <c r="K5" s="12">
        <f t="shared" si="0"/>
        <v>500</v>
      </c>
      <c r="L5" s="12">
        <f t="shared" si="0"/>
        <v>500</v>
      </c>
      <c r="M5" s="10" t="s">
        <v>204</v>
      </c>
      <c r="N5" s="10" t="s">
        <v>63</v>
      </c>
    </row>
    <row r="6" spans="1:14" x14ac:dyDescent="0.25">
      <c r="A6" s="13" t="s">
        <v>36</v>
      </c>
      <c r="B6" s="13" t="s">
        <v>98</v>
      </c>
      <c r="C6" s="13" t="s">
        <v>38</v>
      </c>
      <c r="D6" s="13" t="s">
        <v>39</v>
      </c>
      <c r="E6" s="13" t="s">
        <v>26</v>
      </c>
      <c r="F6" s="13" t="s">
        <v>27</v>
      </c>
      <c r="G6" s="13" t="s">
        <v>28</v>
      </c>
      <c r="H6" s="13" t="s">
        <v>203</v>
      </c>
      <c r="I6" s="14">
        <v>1000000000</v>
      </c>
      <c r="J6" s="14">
        <v>1000000000</v>
      </c>
      <c r="K6" s="15">
        <f t="shared" si="0"/>
        <v>1000</v>
      </c>
      <c r="L6" s="15">
        <f t="shared" si="0"/>
        <v>1000</v>
      </c>
      <c r="M6" s="13" t="s">
        <v>205</v>
      </c>
      <c r="N6" s="13" t="s">
        <v>119</v>
      </c>
    </row>
    <row r="7" spans="1:14" x14ac:dyDescent="0.25">
      <c r="A7" s="10" t="s">
        <v>36</v>
      </c>
      <c r="B7" s="10" t="s">
        <v>42</v>
      </c>
      <c r="C7" s="10" t="s">
        <v>38</v>
      </c>
      <c r="D7" s="10" t="s">
        <v>39</v>
      </c>
      <c r="E7" s="10" t="s">
        <v>31</v>
      </c>
      <c r="F7" s="10" t="s">
        <v>80</v>
      </c>
      <c r="G7" s="10" t="s">
        <v>28</v>
      </c>
      <c r="H7" s="10" t="s">
        <v>202</v>
      </c>
      <c r="I7" s="11">
        <v>500000000</v>
      </c>
      <c r="J7" s="11">
        <v>500000000</v>
      </c>
      <c r="K7" s="12">
        <f t="shared" si="0"/>
        <v>500</v>
      </c>
      <c r="L7" s="12">
        <f t="shared" si="0"/>
        <v>500</v>
      </c>
      <c r="M7" s="10" t="s">
        <v>206</v>
      </c>
      <c r="N7" s="10" t="s">
        <v>119</v>
      </c>
    </row>
    <row r="8" spans="1:14" x14ac:dyDescent="0.25">
      <c r="A8" s="13" t="s">
        <v>36</v>
      </c>
      <c r="B8" s="13" t="s">
        <v>67</v>
      </c>
      <c r="C8" s="13" t="s">
        <v>38</v>
      </c>
      <c r="D8" s="13" t="s">
        <v>39</v>
      </c>
      <c r="E8" s="13" t="s">
        <v>31</v>
      </c>
      <c r="F8" s="13" t="s">
        <v>80</v>
      </c>
      <c r="G8" s="13" t="s">
        <v>28</v>
      </c>
      <c r="H8" s="13" t="s">
        <v>202</v>
      </c>
      <c r="I8" s="14">
        <v>500000000</v>
      </c>
      <c r="J8" s="14">
        <v>500000000</v>
      </c>
      <c r="K8" s="15">
        <f t="shared" si="0"/>
        <v>500</v>
      </c>
      <c r="L8" s="15">
        <f t="shared" si="0"/>
        <v>500</v>
      </c>
      <c r="M8" s="13" t="s">
        <v>207</v>
      </c>
      <c r="N8" s="13" t="s">
        <v>78</v>
      </c>
    </row>
    <row r="9" spans="1:14" x14ac:dyDescent="0.25">
      <c r="A9" s="10" t="s">
        <v>36</v>
      </c>
      <c r="B9" s="10" t="s">
        <v>208</v>
      </c>
      <c r="C9" s="10" t="s">
        <v>38</v>
      </c>
      <c r="D9" s="10" t="s">
        <v>39</v>
      </c>
      <c r="E9" s="10" t="s">
        <v>26</v>
      </c>
      <c r="F9" s="10" t="s">
        <v>27</v>
      </c>
      <c r="G9" s="10" t="s">
        <v>28</v>
      </c>
      <c r="H9" s="10" t="s">
        <v>203</v>
      </c>
      <c r="I9" s="11">
        <v>1000000000</v>
      </c>
      <c r="J9" s="11">
        <v>1000000000</v>
      </c>
      <c r="K9" s="12">
        <f t="shared" si="0"/>
        <v>1000</v>
      </c>
      <c r="L9" s="12">
        <f t="shared" si="0"/>
        <v>1000</v>
      </c>
      <c r="M9" s="10" t="s">
        <v>209</v>
      </c>
      <c r="N9" s="10" t="s">
        <v>63</v>
      </c>
    </row>
    <row r="10" spans="1:14" x14ac:dyDescent="0.25">
      <c r="A10" s="13" t="s">
        <v>36</v>
      </c>
      <c r="B10" s="13" t="s">
        <v>210</v>
      </c>
      <c r="C10" s="13" t="s">
        <v>38</v>
      </c>
      <c r="D10" s="13" t="s">
        <v>39</v>
      </c>
      <c r="E10" s="13" t="s">
        <v>26</v>
      </c>
      <c r="F10" s="13" t="s">
        <v>27</v>
      </c>
      <c r="G10" s="13" t="s">
        <v>28</v>
      </c>
      <c r="H10" s="13" t="s">
        <v>203</v>
      </c>
      <c r="I10" s="14">
        <v>1000000000</v>
      </c>
      <c r="J10" s="14">
        <v>1000000000</v>
      </c>
      <c r="K10" s="15">
        <f t="shared" si="0"/>
        <v>1000</v>
      </c>
      <c r="L10" s="15">
        <f t="shared" si="0"/>
        <v>1000</v>
      </c>
      <c r="M10" s="13" t="s">
        <v>211</v>
      </c>
      <c r="N10" s="13" t="s">
        <v>78</v>
      </c>
    </row>
  </sheetData>
  <autoFilter ref="A2:N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57</v>
      </c>
      <c r="C1" s="1" t="s">
        <v>2</v>
      </c>
      <c r="D1" s="2" t="s">
        <v>212</v>
      </c>
      <c r="E1" s="1" t="s">
        <v>4</v>
      </c>
      <c r="F1" s="2" t="s">
        <v>114</v>
      </c>
      <c r="G1" s="1" t="s">
        <v>6</v>
      </c>
      <c r="H1" s="2" t="s">
        <v>115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109</v>
      </c>
      <c r="C3" s="4" t="s">
        <v>24</v>
      </c>
      <c r="D3" s="4" t="s">
        <v>117</v>
      </c>
      <c r="E3" s="4" t="s">
        <v>26</v>
      </c>
      <c r="F3" s="4" t="s">
        <v>27</v>
      </c>
      <c r="G3" s="4" t="s">
        <v>28</v>
      </c>
      <c r="H3" s="4" t="s">
        <v>32</v>
      </c>
      <c r="I3" s="5">
        <v>1000000000</v>
      </c>
      <c r="J3" s="5">
        <v>1000000000</v>
      </c>
      <c r="K3" s="6">
        <f t="shared" ref="K3:K11" si="0">I3/1000000</f>
        <v>1000</v>
      </c>
      <c r="L3" s="6">
        <f t="shared" ref="L3:L11" si="1">J3/1000000</f>
        <v>1000</v>
      </c>
      <c r="M3" s="4"/>
      <c r="N3" s="4"/>
    </row>
    <row r="4" spans="1:14" x14ac:dyDescent="0.25">
      <c r="A4" s="7" t="s">
        <v>22</v>
      </c>
      <c r="B4" s="7" t="s">
        <v>111</v>
      </c>
      <c r="C4" s="7" t="s">
        <v>24</v>
      </c>
      <c r="D4" s="7" t="s">
        <v>117</v>
      </c>
      <c r="E4" s="7" t="s">
        <v>31</v>
      </c>
      <c r="F4" s="7" t="s">
        <v>80</v>
      </c>
      <c r="G4" s="7" t="s">
        <v>28</v>
      </c>
      <c r="H4" s="7" t="s">
        <v>110</v>
      </c>
      <c r="I4" s="8">
        <v>500000000</v>
      </c>
      <c r="J4" s="8">
        <v>500000000</v>
      </c>
      <c r="K4" s="9">
        <f t="shared" si="0"/>
        <v>500</v>
      </c>
      <c r="L4" s="9">
        <f t="shared" si="1"/>
        <v>500</v>
      </c>
      <c r="M4" s="7"/>
      <c r="N4" s="7"/>
    </row>
    <row r="5" spans="1:14" x14ac:dyDescent="0.25">
      <c r="A5" s="10" t="s">
        <v>36</v>
      </c>
      <c r="B5" s="10" t="s">
        <v>73</v>
      </c>
      <c r="C5" s="10" t="s">
        <v>38</v>
      </c>
      <c r="D5" s="10" t="s">
        <v>39</v>
      </c>
      <c r="E5" s="10" t="s">
        <v>31</v>
      </c>
      <c r="F5" s="10" t="s">
        <v>80</v>
      </c>
      <c r="G5" s="10" t="s">
        <v>28</v>
      </c>
      <c r="H5" s="10" t="s">
        <v>110</v>
      </c>
      <c r="I5" s="11">
        <v>500000000</v>
      </c>
      <c r="J5" s="11">
        <v>500000000</v>
      </c>
      <c r="K5" s="12">
        <f t="shared" si="0"/>
        <v>500</v>
      </c>
      <c r="L5" s="12">
        <f t="shared" si="1"/>
        <v>500</v>
      </c>
      <c r="M5" s="10" t="s">
        <v>213</v>
      </c>
      <c r="N5" s="10" t="s">
        <v>78</v>
      </c>
    </row>
    <row r="6" spans="1:14" x14ac:dyDescent="0.25">
      <c r="A6" s="13" t="s">
        <v>36</v>
      </c>
      <c r="B6" s="13" t="s">
        <v>102</v>
      </c>
      <c r="C6" s="13" t="s">
        <v>38</v>
      </c>
      <c r="D6" s="13" t="s">
        <v>39</v>
      </c>
      <c r="E6" s="13" t="s">
        <v>31</v>
      </c>
      <c r="F6" s="13" t="s">
        <v>80</v>
      </c>
      <c r="G6" s="13" t="s">
        <v>28</v>
      </c>
      <c r="H6" s="13" t="s">
        <v>110</v>
      </c>
      <c r="I6" s="14">
        <v>500000000</v>
      </c>
      <c r="J6" s="14">
        <v>500000000</v>
      </c>
      <c r="K6" s="15">
        <f t="shared" si="0"/>
        <v>500</v>
      </c>
      <c r="L6" s="15">
        <f t="shared" si="1"/>
        <v>500</v>
      </c>
      <c r="M6" s="13" t="s">
        <v>214</v>
      </c>
      <c r="N6" s="13" t="s">
        <v>48</v>
      </c>
    </row>
    <row r="7" spans="1:14" x14ac:dyDescent="0.25">
      <c r="A7" s="10" t="s">
        <v>36</v>
      </c>
      <c r="B7" s="10" t="s">
        <v>46</v>
      </c>
      <c r="C7" s="10" t="s">
        <v>38</v>
      </c>
      <c r="D7" s="10" t="s">
        <v>39</v>
      </c>
      <c r="E7" s="10" t="s">
        <v>31</v>
      </c>
      <c r="F7" s="10" t="s">
        <v>80</v>
      </c>
      <c r="G7" s="10" t="s">
        <v>28</v>
      </c>
      <c r="H7" s="10" t="s">
        <v>110</v>
      </c>
      <c r="I7" s="11">
        <v>500000000</v>
      </c>
      <c r="J7" s="11">
        <v>500000000</v>
      </c>
      <c r="K7" s="12">
        <f t="shared" si="0"/>
        <v>500</v>
      </c>
      <c r="L7" s="12">
        <f t="shared" si="1"/>
        <v>500</v>
      </c>
      <c r="M7" s="10" t="s">
        <v>215</v>
      </c>
      <c r="N7" s="10" t="s">
        <v>41</v>
      </c>
    </row>
    <row r="8" spans="1:14" x14ac:dyDescent="0.25">
      <c r="A8" s="13" t="s">
        <v>36</v>
      </c>
      <c r="B8" s="13" t="s">
        <v>84</v>
      </c>
      <c r="C8" s="13" t="s">
        <v>38</v>
      </c>
      <c r="D8" s="13" t="s">
        <v>39</v>
      </c>
      <c r="E8" s="13" t="s">
        <v>31</v>
      </c>
      <c r="F8" s="13" t="s">
        <v>80</v>
      </c>
      <c r="G8" s="13" t="s">
        <v>28</v>
      </c>
      <c r="H8" s="13" t="s">
        <v>110</v>
      </c>
      <c r="I8" s="14">
        <v>500000000</v>
      </c>
      <c r="J8" s="14">
        <v>500000000</v>
      </c>
      <c r="K8" s="15">
        <f t="shared" si="0"/>
        <v>500</v>
      </c>
      <c r="L8" s="15">
        <f t="shared" si="1"/>
        <v>500</v>
      </c>
      <c r="M8" s="13" t="s">
        <v>216</v>
      </c>
      <c r="N8" s="13" t="s">
        <v>63</v>
      </c>
    </row>
    <row r="9" spans="1:14" x14ac:dyDescent="0.25">
      <c r="A9" s="10" t="s">
        <v>36</v>
      </c>
      <c r="B9" s="10" t="s">
        <v>61</v>
      </c>
      <c r="C9" s="10" t="s">
        <v>38</v>
      </c>
      <c r="D9" s="10" t="s">
        <v>39</v>
      </c>
      <c r="E9" s="10" t="s">
        <v>26</v>
      </c>
      <c r="F9" s="10" t="s">
        <v>27</v>
      </c>
      <c r="G9" s="10" t="s">
        <v>28</v>
      </c>
      <c r="H9" s="10" t="s">
        <v>32</v>
      </c>
      <c r="I9" s="11">
        <v>1000000000</v>
      </c>
      <c r="J9" s="11">
        <v>1000000000</v>
      </c>
      <c r="K9" s="12">
        <f t="shared" si="0"/>
        <v>1000</v>
      </c>
      <c r="L9" s="12">
        <f t="shared" si="1"/>
        <v>1000</v>
      </c>
      <c r="M9" s="10" t="s">
        <v>217</v>
      </c>
      <c r="N9" s="10" t="s">
        <v>119</v>
      </c>
    </row>
    <row r="10" spans="1:14" x14ac:dyDescent="0.25">
      <c r="A10" s="13" t="s">
        <v>36</v>
      </c>
      <c r="B10" s="13" t="s">
        <v>94</v>
      </c>
      <c r="C10" s="13" t="s">
        <v>38</v>
      </c>
      <c r="D10" s="13" t="s">
        <v>39</v>
      </c>
      <c r="E10" s="13" t="s">
        <v>31</v>
      </c>
      <c r="F10" s="13" t="s">
        <v>80</v>
      </c>
      <c r="G10" s="13" t="s">
        <v>28</v>
      </c>
      <c r="H10" s="13" t="s">
        <v>110</v>
      </c>
      <c r="I10" s="14">
        <v>500000000</v>
      </c>
      <c r="J10" s="14">
        <v>500000000</v>
      </c>
      <c r="K10" s="15">
        <f t="shared" si="0"/>
        <v>500</v>
      </c>
      <c r="L10" s="15">
        <f t="shared" si="1"/>
        <v>500</v>
      </c>
      <c r="M10" s="13" t="s">
        <v>218</v>
      </c>
      <c r="N10" s="13" t="s">
        <v>119</v>
      </c>
    </row>
    <row r="11" spans="1:14" x14ac:dyDescent="0.25">
      <c r="A11" s="10" t="s">
        <v>36</v>
      </c>
      <c r="B11" s="10" t="s">
        <v>208</v>
      </c>
      <c r="C11" s="10" t="s">
        <v>38</v>
      </c>
      <c r="D11" s="10" t="s">
        <v>39</v>
      </c>
      <c r="E11" s="10" t="s">
        <v>26</v>
      </c>
      <c r="F11" s="10" t="s">
        <v>27</v>
      </c>
      <c r="G11" s="10" t="s">
        <v>28</v>
      </c>
      <c r="H11" s="10" t="s">
        <v>110</v>
      </c>
      <c r="I11" s="11">
        <v>1000000000</v>
      </c>
      <c r="J11" s="11">
        <v>1000000000</v>
      </c>
      <c r="K11" s="12">
        <f t="shared" si="0"/>
        <v>1000</v>
      </c>
      <c r="L11" s="12">
        <f t="shared" si="1"/>
        <v>1000</v>
      </c>
      <c r="M11" s="10" t="s">
        <v>200</v>
      </c>
      <c r="N11" s="10" t="s">
        <v>63</v>
      </c>
    </row>
  </sheetData>
  <autoFilter ref="A2:N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69</v>
      </c>
      <c r="C1" s="1" t="s">
        <v>2</v>
      </c>
      <c r="D1" s="2" t="s">
        <v>219</v>
      </c>
      <c r="E1" s="1" t="s">
        <v>4</v>
      </c>
      <c r="F1" s="2" t="s">
        <v>114</v>
      </c>
      <c r="G1" s="1" t="s">
        <v>6</v>
      </c>
      <c r="H1" s="2" t="s">
        <v>115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111</v>
      </c>
      <c r="C3" s="4" t="s">
        <v>24</v>
      </c>
      <c r="D3" s="4" t="s">
        <v>117</v>
      </c>
      <c r="E3" s="4" t="s">
        <v>26</v>
      </c>
      <c r="F3" s="4" t="s">
        <v>27</v>
      </c>
      <c r="G3" s="4" t="s">
        <v>28</v>
      </c>
      <c r="H3" s="4" t="s">
        <v>32</v>
      </c>
      <c r="I3" s="5">
        <v>500000000</v>
      </c>
      <c r="J3" s="5">
        <v>500000000</v>
      </c>
      <c r="K3" s="6">
        <f t="shared" ref="K3:K12" si="0">I3/1000000</f>
        <v>500</v>
      </c>
      <c r="L3" s="6">
        <f t="shared" ref="L3:L12" si="1">J3/1000000</f>
        <v>500</v>
      </c>
      <c r="M3" s="4"/>
      <c r="N3" s="4"/>
    </row>
    <row r="4" spans="1:14" x14ac:dyDescent="0.25">
      <c r="A4" s="7" t="s">
        <v>22</v>
      </c>
      <c r="B4" s="7" t="s">
        <v>112</v>
      </c>
      <c r="C4" s="7" t="s">
        <v>24</v>
      </c>
      <c r="D4" s="7" t="s">
        <v>117</v>
      </c>
      <c r="E4" s="7" t="s">
        <v>31</v>
      </c>
      <c r="F4" s="7" t="s">
        <v>80</v>
      </c>
      <c r="G4" s="7" t="s">
        <v>28</v>
      </c>
      <c r="H4" s="7" t="s">
        <v>220</v>
      </c>
      <c r="I4" s="8">
        <v>500000000</v>
      </c>
      <c r="J4" s="8">
        <v>500000000</v>
      </c>
      <c r="K4" s="9">
        <f t="shared" si="0"/>
        <v>500</v>
      </c>
      <c r="L4" s="9">
        <f t="shared" si="1"/>
        <v>500</v>
      </c>
      <c r="M4" s="7"/>
      <c r="N4" s="7"/>
    </row>
    <row r="5" spans="1:14" x14ac:dyDescent="0.25">
      <c r="A5" s="10" t="s">
        <v>36</v>
      </c>
      <c r="B5" s="10" t="s">
        <v>37</v>
      </c>
      <c r="C5" s="10" t="s">
        <v>38</v>
      </c>
      <c r="D5" s="10" t="s">
        <v>39</v>
      </c>
      <c r="E5" s="10" t="s">
        <v>26</v>
      </c>
      <c r="F5" s="10" t="s">
        <v>27</v>
      </c>
      <c r="G5" s="10" t="s">
        <v>28</v>
      </c>
      <c r="H5" s="10" t="s">
        <v>32</v>
      </c>
      <c r="I5" s="11">
        <v>500000000</v>
      </c>
      <c r="J5" s="11">
        <v>500000000</v>
      </c>
      <c r="K5" s="12">
        <f t="shared" si="0"/>
        <v>500</v>
      </c>
      <c r="L5" s="12">
        <f t="shared" si="1"/>
        <v>500</v>
      </c>
      <c r="M5" s="10" t="s">
        <v>221</v>
      </c>
      <c r="N5" s="10" t="s">
        <v>41</v>
      </c>
    </row>
    <row r="6" spans="1:14" x14ac:dyDescent="0.25">
      <c r="A6" s="13" t="s">
        <v>36</v>
      </c>
      <c r="B6" s="13" t="s">
        <v>76</v>
      </c>
      <c r="C6" s="13" t="s">
        <v>38</v>
      </c>
      <c r="D6" s="13" t="s">
        <v>39</v>
      </c>
      <c r="E6" s="13" t="s">
        <v>26</v>
      </c>
      <c r="F6" s="13" t="s">
        <v>27</v>
      </c>
      <c r="G6" s="13" t="s">
        <v>28</v>
      </c>
      <c r="H6" s="13" t="s">
        <v>32</v>
      </c>
      <c r="I6" s="14">
        <v>500000000</v>
      </c>
      <c r="J6" s="14">
        <v>500000000</v>
      </c>
      <c r="K6" s="15">
        <f t="shared" si="0"/>
        <v>500</v>
      </c>
      <c r="L6" s="15">
        <f t="shared" si="1"/>
        <v>500</v>
      </c>
      <c r="M6" s="13" t="s">
        <v>222</v>
      </c>
      <c r="N6" s="13" t="s">
        <v>78</v>
      </c>
    </row>
    <row r="7" spans="1:14" x14ac:dyDescent="0.25">
      <c r="A7" s="10" t="s">
        <v>36</v>
      </c>
      <c r="B7" s="10" t="s">
        <v>223</v>
      </c>
      <c r="C7" s="10" t="s">
        <v>38</v>
      </c>
      <c r="D7" s="10" t="s">
        <v>39</v>
      </c>
      <c r="E7" s="10" t="s">
        <v>31</v>
      </c>
      <c r="F7" s="10" t="s">
        <v>80</v>
      </c>
      <c r="G7" s="10" t="s">
        <v>28</v>
      </c>
      <c r="H7" s="10" t="s">
        <v>220</v>
      </c>
      <c r="I7" s="11">
        <v>500000000</v>
      </c>
      <c r="J7" s="11">
        <v>500000000</v>
      </c>
      <c r="K7" s="12">
        <f t="shared" si="0"/>
        <v>500</v>
      </c>
      <c r="L7" s="12">
        <f t="shared" si="1"/>
        <v>500</v>
      </c>
      <c r="M7" s="10" t="s">
        <v>224</v>
      </c>
      <c r="N7" s="10" t="s">
        <v>78</v>
      </c>
    </row>
    <row r="8" spans="1:14" x14ac:dyDescent="0.25">
      <c r="A8" s="13" t="s">
        <v>36</v>
      </c>
      <c r="B8" s="13" t="s">
        <v>225</v>
      </c>
      <c r="C8" s="13" t="s">
        <v>38</v>
      </c>
      <c r="D8" s="13" t="s">
        <v>39</v>
      </c>
      <c r="E8" s="13" t="s">
        <v>26</v>
      </c>
      <c r="F8" s="13" t="s">
        <v>27</v>
      </c>
      <c r="G8" s="13" t="s">
        <v>28</v>
      </c>
      <c r="H8" s="13" t="s">
        <v>32</v>
      </c>
      <c r="I8" s="14">
        <v>500000000</v>
      </c>
      <c r="J8" s="14">
        <v>500000000</v>
      </c>
      <c r="K8" s="15">
        <f t="shared" si="0"/>
        <v>500</v>
      </c>
      <c r="L8" s="15">
        <f t="shared" si="1"/>
        <v>500</v>
      </c>
      <c r="M8" s="13" t="s">
        <v>226</v>
      </c>
      <c r="N8" s="13" t="s">
        <v>48</v>
      </c>
    </row>
    <row r="9" spans="1:14" x14ac:dyDescent="0.25">
      <c r="A9" s="10" t="s">
        <v>36</v>
      </c>
      <c r="B9" s="10" t="s">
        <v>227</v>
      </c>
      <c r="C9" s="10" t="s">
        <v>38</v>
      </c>
      <c r="D9" s="10" t="s">
        <v>39</v>
      </c>
      <c r="E9" s="10" t="s">
        <v>31</v>
      </c>
      <c r="F9" s="10" t="s">
        <v>80</v>
      </c>
      <c r="G9" s="10" t="s">
        <v>28</v>
      </c>
      <c r="H9" s="10" t="s">
        <v>220</v>
      </c>
      <c r="I9" s="11">
        <v>500000000</v>
      </c>
      <c r="J9" s="11">
        <v>500000000</v>
      </c>
      <c r="K9" s="12">
        <f t="shared" si="0"/>
        <v>500</v>
      </c>
      <c r="L9" s="12">
        <f t="shared" si="1"/>
        <v>500</v>
      </c>
      <c r="M9" s="10" t="s">
        <v>228</v>
      </c>
      <c r="N9" s="10" t="s">
        <v>41</v>
      </c>
    </row>
    <row r="10" spans="1:14" x14ac:dyDescent="0.25">
      <c r="A10" s="13" t="s">
        <v>36</v>
      </c>
      <c r="B10" s="13" t="s">
        <v>175</v>
      </c>
      <c r="C10" s="13" t="s">
        <v>38</v>
      </c>
      <c r="D10" s="13" t="s">
        <v>39</v>
      </c>
      <c r="E10" s="13" t="s">
        <v>26</v>
      </c>
      <c r="F10" s="13" t="s">
        <v>27</v>
      </c>
      <c r="G10" s="13" t="s">
        <v>28</v>
      </c>
      <c r="H10" s="13" t="s">
        <v>32</v>
      </c>
      <c r="I10" s="14">
        <v>500000000</v>
      </c>
      <c r="J10" s="14">
        <v>500000000</v>
      </c>
      <c r="K10" s="15">
        <f t="shared" si="0"/>
        <v>500</v>
      </c>
      <c r="L10" s="15">
        <f t="shared" si="1"/>
        <v>500</v>
      </c>
      <c r="M10" s="13" t="s">
        <v>68</v>
      </c>
      <c r="N10" s="13" t="s">
        <v>119</v>
      </c>
    </row>
    <row r="11" spans="1:14" x14ac:dyDescent="0.25">
      <c r="A11" s="10" t="s">
        <v>36</v>
      </c>
      <c r="B11" s="10" t="s">
        <v>177</v>
      </c>
      <c r="C11" s="10" t="s">
        <v>38</v>
      </c>
      <c r="D11" s="10" t="s">
        <v>39</v>
      </c>
      <c r="E11" s="10" t="s">
        <v>31</v>
      </c>
      <c r="F11" s="10" t="s">
        <v>80</v>
      </c>
      <c r="G11" s="10" t="s">
        <v>28</v>
      </c>
      <c r="H11" s="10" t="s">
        <v>220</v>
      </c>
      <c r="I11" s="11">
        <v>500000000</v>
      </c>
      <c r="J11" s="11">
        <v>500000000</v>
      </c>
      <c r="K11" s="12">
        <f t="shared" si="0"/>
        <v>500</v>
      </c>
      <c r="L11" s="12">
        <f t="shared" si="1"/>
        <v>500</v>
      </c>
      <c r="M11" s="10" t="s">
        <v>229</v>
      </c>
      <c r="N11" s="10" t="s">
        <v>230</v>
      </c>
    </row>
    <row r="12" spans="1:14" x14ac:dyDescent="0.25">
      <c r="A12" s="13" t="s">
        <v>36</v>
      </c>
      <c r="B12" s="13" t="s">
        <v>208</v>
      </c>
      <c r="C12" s="13" t="s">
        <v>38</v>
      </c>
      <c r="D12" s="13" t="s">
        <v>39</v>
      </c>
      <c r="E12" s="13" t="s">
        <v>26</v>
      </c>
      <c r="F12" s="13" t="s">
        <v>27</v>
      </c>
      <c r="G12" s="13" t="s">
        <v>28</v>
      </c>
      <c r="H12" s="13" t="s">
        <v>32</v>
      </c>
      <c r="I12" s="14">
        <v>500000000</v>
      </c>
      <c r="J12" s="14">
        <v>500000000</v>
      </c>
      <c r="K12" s="15">
        <f t="shared" si="0"/>
        <v>500</v>
      </c>
      <c r="L12" s="15">
        <f t="shared" si="1"/>
        <v>500</v>
      </c>
      <c r="M12" s="13" t="s">
        <v>189</v>
      </c>
      <c r="N12" s="13" t="s">
        <v>63</v>
      </c>
    </row>
  </sheetData>
  <autoFilter ref="A2:N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2"/>
  <sheetViews>
    <sheetView workbookViewId="0">
      <pane ySplit="2" topLeftCell="A3" activePane="bottomLeft" state="frozen"/>
      <selection pane="bottomLeft" activeCell="F21" sqref="F21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72</v>
      </c>
      <c r="C1" s="1" t="s">
        <v>2</v>
      </c>
      <c r="D1" s="2" t="s">
        <v>231</v>
      </c>
      <c r="E1" s="1" t="s">
        <v>4</v>
      </c>
      <c r="F1" s="2" t="s">
        <v>114</v>
      </c>
      <c r="G1" s="1" t="s">
        <v>6</v>
      </c>
      <c r="H1" s="2" t="s">
        <v>115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111</v>
      </c>
      <c r="C3" s="4" t="s">
        <v>24</v>
      </c>
      <c r="D3" s="4" t="s">
        <v>117</v>
      </c>
      <c r="E3" s="4" t="s">
        <v>31</v>
      </c>
      <c r="F3" s="4" t="s">
        <v>80</v>
      </c>
      <c r="G3" s="4" t="s">
        <v>28</v>
      </c>
      <c r="H3" s="4" t="s">
        <v>172</v>
      </c>
      <c r="I3" s="5">
        <v>100000000</v>
      </c>
      <c r="J3" s="5">
        <v>100000000</v>
      </c>
      <c r="K3" s="6">
        <f t="shared" ref="K3:K12" si="0">I3/1000000</f>
        <v>100</v>
      </c>
      <c r="L3" s="6">
        <f t="shared" ref="L3:L12" si="1">J3/1000000</f>
        <v>100</v>
      </c>
      <c r="M3" s="4"/>
      <c r="N3" s="4"/>
    </row>
    <row r="4" spans="1:14" x14ac:dyDescent="0.25">
      <c r="A4" s="7" t="s">
        <v>22</v>
      </c>
      <c r="B4" s="7" t="s">
        <v>109</v>
      </c>
      <c r="C4" s="7" t="s">
        <v>24</v>
      </c>
      <c r="D4" s="7" t="s">
        <v>117</v>
      </c>
      <c r="E4" s="7" t="s">
        <v>26</v>
      </c>
      <c r="F4" s="7" t="s">
        <v>27</v>
      </c>
      <c r="G4" s="7" t="s">
        <v>28</v>
      </c>
      <c r="H4" s="7" t="s">
        <v>172</v>
      </c>
      <c r="I4" s="8">
        <v>1000000000</v>
      </c>
      <c r="J4" s="8">
        <v>1000000000</v>
      </c>
      <c r="K4" s="9">
        <f t="shared" si="0"/>
        <v>1000</v>
      </c>
      <c r="L4" s="9">
        <f t="shared" si="1"/>
        <v>1000</v>
      </c>
      <c r="M4" s="7"/>
      <c r="N4" s="7"/>
    </row>
    <row r="5" spans="1:14" x14ac:dyDescent="0.25">
      <c r="A5" s="10" t="s">
        <v>36</v>
      </c>
      <c r="B5" s="10" t="s">
        <v>177</v>
      </c>
      <c r="C5" s="10" t="s">
        <v>38</v>
      </c>
      <c r="D5" s="10" t="s">
        <v>39</v>
      </c>
      <c r="E5" s="10" t="s">
        <v>26</v>
      </c>
      <c r="F5" s="10" t="s">
        <v>27</v>
      </c>
      <c r="G5" s="10" t="s">
        <v>28</v>
      </c>
      <c r="H5" s="10" t="s">
        <v>172</v>
      </c>
      <c r="I5" s="11">
        <v>1000000000</v>
      </c>
      <c r="J5" s="11">
        <v>1000000000</v>
      </c>
      <c r="K5" s="12">
        <f t="shared" si="0"/>
        <v>1000</v>
      </c>
      <c r="L5" s="12">
        <f t="shared" si="1"/>
        <v>1000</v>
      </c>
      <c r="M5" s="10" t="s">
        <v>232</v>
      </c>
      <c r="N5" s="10" t="s">
        <v>119</v>
      </c>
    </row>
    <row r="6" spans="1:14" x14ac:dyDescent="0.25">
      <c r="A6" s="13" t="s">
        <v>36</v>
      </c>
      <c r="B6" s="13" t="s">
        <v>173</v>
      </c>
      <c r="C6" s="13" t="s">
        <v>38</v>
      </c>
      <c r="D6" s="13" t="s">
        <v>39</v>
      </c>
      <c r="E6" s="13" t="s">
        <v>31</v>
      </c>
      <c r="F6" s="13" t="s">
        <v>80</v>
      </c>
      <c r="G6" s="13" t="s">
        <v>28</v>
      </c>
      <c r="H6" s="13" t="s">
        <v>172</v>
      </c>
      <c r="I6" s="14">
        <v>100000000</v>
      </c>
      <c r="J6" s="14">
        <v>100000000</v>
      </c>
      <c r="K6" s="15">
        <f t="shared" si="0"/>
        <v>100</v>
      </c>
      <c r="L6" s="15">
        <f t="shared" si="1"/>
        <v>100</v>
      </c>
      <c r="M6" s="13" t="s">
        <v>233</v>
      </c>
      <c r="N6" s="13" t="s">
        <v>119</v>
      </c>
    </row>
    <row r="7" spans="1:14" x14ac:dyDescent="0.25">
      <c r="A7" s="10" t="s">
        <v>36</v>
      </c>
      <c r="B7" s="10" t="s">
        <v>82</v>
      </c>
      <c r="C7" s="10" t="s">
        <v>38</v>
      </c>
      <c r="D7" s="10" t="s">
        <v>39</v>
      </c>
      <c r="E7" s="10" t="s">
        <v>31</v>
      </c>
      <c r="F7" s="10" t="s">
        <v>80</v>
      </c>
      <c r="G7" s="10" t="s">
        <v>28</v>
      </c>
      <c r="H7" s="10" t="s">
        <v>172</v>
      </c>
      <c r="I7" s="11">
        <v>100000000</v>
      </c>
      <c r="J7" s="11">
        <v>100000000</v>
      </c>
      <c r="K7" s="12">
        <f t="shared" si="0"/>
        <v>100</v>
      </c>
      <c r="L7" s="12">
        <f t="shared" si="1"/>
        <v>100</v>
      </c>
      <c r="M7" s="10" t="s">
        <v>234</v>
      </c>
      <c r="N7" s="10" t="s">
        <v>48</v>
      </c>
    </row>
    <row r="8" spans="1:14" x14ac:dyDescent="0.25">
      <c r="A8" s="13" t="s">
        <v>36</v>
      </c>
      <c r="B8" s="13" t="s">
        <v>227</v>
      </c>
      <c r="C8" s="13" t="s">
        <v>38</v>
      </c>
      <c r="D8" s="13" t="s">
        <v>39</v>
      </c>
      <c r="E8" s="13" t="s">
        <v>26</v>
      </c>
      <c r="F8" s="13" t="s">
        <v>27</v>
      </c>
      <c r="G8" s="13" t="s">
        <v>28</v>
      </c>
      <c r="H8" s="13" t="s">
        <v>172</v>
      </c>
      <c r="I8" s="14">
        <v>1000000000</v>
      </c>
      <c r="J8" s="14">
        <v>1000000000</v>
      </c>
      <c r="K8" s="15">
        <f t="shared" si="0"/>
        <v>1000</v>
      </c>
      <c r="L8" s="15">
        <f t="shared" si="1"/>
        <v>1000</v>
      </c>
      <c r="M8" s="13" t="s">
        <v>235</v>
      </c>
      <c r="N8" s="13" t="s">
        <v>48</v>
      </c>
    </row>
    <row r="9" spans="1:14" x14ac:dyDescent="0.25">
      <c r="A9" s="10" t="s">
        <v>36</v>
      </c>
      <c r="B9" s="10" t="s">
        <v>236</v>
      </c>
      <c r="C9" s="10" t="s">
        <v>38</v>
      </c>
      <c r="D9" s="10" t="s">
        <v>39</v>
      </c>
      <c r="E9" s="10" t="s">
        <v>26</v>
      </c>
      <c r="F9" s="10" t="s">
        <v>27</v>
      </c>
      <c r="G9" s="10" t="s">
        <v>28</v>
      </c>
      <c r="H9" s="10" t="s">
        <v>172</v>
      </c>
      <c r="I9" s="11">
        <v>1000000000</v>
      </c>
      <c r="J9" s="11">
        <v>1000000000</v>
      </c>
      <c r="K9" s="12">
        <f t="shared" si="0"/>
        <v>1000</v>
      </c>
      <c r="L9" s="12">
        <f t="shared" si="1"/>
        <v>1000</v>
      </c>
      <c r="M9" s="10" t="s">
        <v>237</v>
      </c>
      <c r="N9" s="10" t="s">
        <v>63</v>
      </c>
    </row>
    <row r="10" spans="1:14" x14ac:dyDescent="0.25">
      <c r="A10" s="13" t="s">
        <v>36</v>
      </c>
      <c r="B10" s="13" t="s">
        <v>46</v>
      </c>
      <c r="C10" s="13" t="s">
        <v>38</v>
      </c>
      <c r="D10" s="13" t="s">
        <v>39</v>
      </c>
      <c r="E10" s="13" t="s">
        <v>31</v>
      </c>
      <c r="F10" s="13" t="s">
        <v>80</v>
      </c>
      <c r="G10" s="13" t="s">
        <v>28</v>
      </c>
      <c r="H10" s="13" t="s">
        <v>172</v>
      </c>
      <c r="I10" s="14">
        <v>100000000</v>
      </c>
      <c r="J10" s="14">
        <v>100000000</v>
      </c>
      <c r="K10" s="15">
        <f t="shared" si="0"/>
        <v>100</v>
      </c>
      <c r="L10" s="15">
        <f t="shared" si="1"/>
        <v>100</v>
      </c>
      <c r="M10" s="13" t="s">
        <v>238</v>
      </c>
      <c r="N10" s="13" t="s">
        <v>63</v>
      </c>
    </row>
    <row r="11" spans="1:14" x14ac:dyDescent="0.25">
      <c r="A11" s="10" t="s">
        <v>36</v>
      </c>
      <c r="B11" s="10" t="s">
        <v>37</v>
      </c>
      <c r="C11" s="10" t="s">
        <v>38</v>
      </c>
      <c r="D11" s="10" t="s">
        <v>39</v>
      </c>
      <c r="E11" s="10" t="s">
        <v>26</v>
      </c>
      <c r="F11" s="10" t="s">
        <v>27</v>
      </c>
      <c r="G11" s="10" t="s">
        <v>28</v>
      </c>
      <c r="H11" s="10" t="s">
        <v>172</v>
      </c>
      <c r="I11" s="11">
        <v>1000000000</v>
      </c>
      <c r="J11" s="11">
        <v>1000000000</v>
      </c>
      <c r="K11" s="12">
        <f t="shared" si="0"/>
        <v>1000</v>
      </c>
      <c r="L11" s="12">
        <f t="shared" si="1"/>
        <v>1000</v>
      </c>
      <c r="M11" s="10" t="s">
        <v>239</v>
      </c>
      <c r="N11" s="10" t="s">
        <v>78</v>
      </c>
    </row>
    <row r="12" spans="1:14" x14ac:dyDescent="0.25">
      <c r="A12" s="13" t="s">
        <v>36</v>
      </c>
      <c r="B12" s="13" t="s">
        <v>223</v>
      </c>
      <c r="C12" s="13" t="s">
        <v>38</v>
      </c>
      <c r="D12" s="13" t="s">
        <v>39</v>
      </c>
      <c r="E12" s="13" t="s">
        <v>31</v>
      </c>
      <c r="F12" s="13" t="s">
        <v>80</v>
      </c>
      <c r="G12" s="13" t="s">
        <v>28</v>
      </c>
      <c r="H12" s="13" t="s">
        <v>172</v>
      </c>
      <c r="I12" s="14">
        <v>100000000</v>
      </c>
      <c r="J12" s="14">
        <v>100000000</v>
      </c>
      <c r="K12" s="15">
        <f t="shared" si="0"/>
        <v>100</v>
      </c>
      <c r="L12" s="15">
        <f t="shared" si="1"/>
        <v>100</v>
      </c>
      <c r="M12" s="13" t="s">
        <v>240</v>
      </c>
      <c r="N12" s="13" t="s">
        <v>78</v>
      </c>
    </row>
  </sheetData>
  <autoFilter ref="A2:N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4"/>
  <sheetViews>
    <sheetView workbookViewId="0">
      <pane ySplit="2" topLeftCell="A3" activePane="bottomLeft" state="frozen"/>
      <selection pane="bottomLeft" activeCell="L6" sqref="L6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51</v>
      </c>
      <c r="C1" s="1" t="s">
        <v>2</v>
      </c>
      <c r="D1" s="2" t="s">
        <v>241</v>
      </c>
      <c r="E1" s="1" t="s">
        <v>4</v>
      </c>
      <c r="F1" s="2" t="s">
        <v>114</v>
      </c>
      <c r="G1" s="1" t="s">
        <v>6</v>
      </c>
      <c r="H1" s="2" t="s">
        <v>115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109</v>
      </c>
      <c r="C3" s="4" t="s">
        <v>24</v>
      </c>
      <c r="D3" s="4" t="s">
        <v>117</v>
      </c>
      <c r="E3" s="4" t="s">
        <v>26</v>
      </c>
      <c r="F3" s="4" t="s">
        <v>27</v>
      </c>
      <c r="G3" s="4" t="s">
        <v>28</v>
      </c>
      <c r="H3" s="4" t="s">
        <v>242</v>
      </c>
      <c r="I3" s="14">
        <f t="shared" ref="I3:J13" si="0">K3*1000000</f>
        <v>1000000000</v>
      </c>
      <c r="J3" s="14">
        <f t="shared" si="0"/>
        <v>1000000000</v>
      </c>
      <c r="K3" s="6">
        <v>1000</v>
      </c>
      <c r="L3" s="6">
        <v>1000</v>
      </c>
      <c r="M3" s="4"/>
      <c r="N3" s="4"/>
    </row>
    <row r="4" spans="1:14" x14ac:dyDescent="0.25">
      <c r="A4" s="7" t="s">
        <v>22</v>
      </c>
      <c r="B4" s="7" t="s">
        <v>111</v>
      </c>
      <c r="C4" s="7" t="s">
        <v>24</v>
      </c>
      <c r="D4" s="7" t="s">
        <v>117</v>
      </c>
      <c r="E4" s="7" t="s">
        <v>31</v>
      </c>
      <c r="F4" s="7" t="s">
        <v>80</v>
      </c>
      <c r="G4" s="7" t="s">
        <v>28</v>
      </c>
      <c r="H4" s="7" t="s">
        <v>243</v>
      </c>
      <c r="I4" s="14">
        <f t="shared" si="0"/>
        <v>100000000</v>
      </c>
      <c r="J4" s="14">
        <f t="shared" si="0"/>
        <v>100000000</v>
      </c>
      <c r="K4" s="9">
        <v>100</v>
      </c>
      <c r="L4" s="9">
        <v>100</v>
      </c>
      <c r="M4" s="7"/>
      <c r="N4" s="7"/>
    </row>
    <row r="5" spans="1:14" x14ac:dyDescent="0.25">
      <c r="A5" s="10" t="s">
        <v>36</v>
      </c>
      <c r="B5" s="10" t="s">
        <v>37</v>
      </c>
      <c r="C5" s="10" t="s">
        <v>38</v>
      </c>
      <c r="D5" s="10" t="s">
        <v>39</v>
      </c>
      <c r="E5" s="10" t="s">
        <v>26</v>
      </c>
      <c r="F5" s="10" t="s">
        <v>27</v>
      </c>
      <c r="G5" s="10" t="s">
        <v>28</v>
      </c>
      <c r="H5" s="10" t="s">
        <v>244</v>
      </c>
      <c r="I5" s="14">
        <f t="shared" si="0"/>
        <v>1000000000</v>
      </c>
      <c r="J5" s="14">
        <f t="shared" si="0"/>
        <v>1000000000</v>
      </c>
      <c r="K5" s="12">
        <v>1000</v>
      </c>
      <c r="L5" s="12">
        <v>1000</v>
      </c>
      <c r="M5" s="10" t="s">
        <v>245</v>
      </c>
      <c r="N5" s="10" t="s">
        <v>41</v>
      </c>
    </row>
    <row r="6" spans="1:14" x14ac:dyDescent="0.25">
      <c r="A6" s="13" t="s">
        <v>36</v>
      </c>
      <c r="B6" s="13" t="s">
        <v>76</v>
      </c>
      <c r="C6" s="13" t="s">
        <v>38</v>
      </c>
      <c r="D6" s="13" t="s">
        <v>39</v>
      </c>
      <c r="E6" s="13" t="s">
        <v>26</v>
      </c>
      <c r="F6" s="13" t="s">
        <v>27</v>
      </c>
      <c r="G6" s="13" t="s">
        <v>28</v>
      </c>
      <c r="H6" s="13" t="s">
        <v>244</v>
      </c>
      <c r="I6" s="14">
        <f t="shared" si="0"/>
        <v>1000000000</v>
      </c>
      <c r="J6" s="14">
        <f t="shared" si="0"/>
        <v>1000000000</v>
      </c>
      <c r="K6" s="15">
        <v>1000</v>
      </c>
      <c r="L6" s="15">
        <v>1000</v>
      </c>
      <c r="M6" s="13" t="s">
        <v>246</v>
      </c>
      <c r="N6" s="13" t="s">
        <v>247</v>
      </c>
    </row>
    <row r="7" spans="1:14" x14ac:dyDescent="0.25">
      <c r="A7" s="10" t="s">
        <v>36</v>
      </c>
      <c r="B7" s="10" t="s">
        <v>223</v>
      </c>
      <c r="C7" s="10" t="s">
        <v>38</v>
      </c>
      <c r="D7" s="10" t="s">
        <v>39</v>
      </c>
      <c r="E7" s="10" t="s">
        <v>31</v>
      </c>
      <c r="F7" s="10" t="s">
        <v>80</v>
      </c>
      <c r="G7" s="10" t="s">
        <v>28</v>
      </c>
      <c r="H7" s="10" t="s">
        <v>243</v>
      </c>
      <c r="I7" s="14">
        <f t="shared" si="0"/>
        <v>100000000</v>
      </c>
      <c r="J7" s="14">
        <f t="shared" si="0"/>
        <v>100000000</v>
      </c>
      <c r="K7" s="12">
        <v>100</v>
      </c>
      <c r="L7" s="12">
        <v>100</v>
      </c>
      <c r="M7" s="10" t="s">
        <v>248</v>
      </c>
      <c r="N7" s="10" t="s">
        <v>78</v>
      </c>
    </row>
    <row r="8" spans="1:14" x14ac:dyDescent="0.25">
      <c r="A8" s="13" t="s">
        <v>36</v>
      </c>
      <c r="B8" s="13" t="s">
        <v>225</v>
      </c>
      <c r="C8" s="13" t="s">
        <v>38</v>
      </c>
      <c r="D8" s="13" t="s">
        <v>39</v>
      </c>
      <c r="E8" s="13" t="s">
        <v>26</v>
      </c>
      <c r="F8" s="13" t="s">
        <v>27</v>
      </c>
      <c r="G8" s="13" t="s">
        <v>28</v>
      </c>
      <c r="H8" s="13" t="s">
        <v>244</v>
      </c>
      <c r="I8" s="14">
        <f t="shared" si="0"/>
        <v>1000000000</v>
      </c>
      <c r="J8" s="14">
        <f t="shared" si="0"/>
        <v>1000000000</v>
      </c>
      <c r="K8" s="15">
        <v>1000</v>
      </c>
      <c r="L8" s="15">
        <v>1000</v>
      </c>
      <c r="M8" s="13" t="s">
        <v>249</v>
      </c>
      <c r="N8" s="13" t="s">
        <v>48</v>
      </c>
    </row>
    <row r="9" spans="1:14" x14ac:dyDescent="0.25">
      <c r="A9" s="10" t="s">
        <v>36</v>
      </c>
      <c r="B9" s="10" t="s">
        <v>227</v>
      </c>
      <c r="C9" s="10" t="s">
        <v>38</v>
      </c>
      <c r="D9" s="10" t="s">
        <v>39</v>
      </c>
      <c r="E9" s="10" t="s">
        <v>31</v>
      </c>
      <c r="F9" s="10" t="s">
        <v>80</v>
      </c>
      <c r="G9" s="10" t="s">
        <v>28</v>
      </c>
      <c r="H9" s="10" t="s">
        <v>243</v>
      </c>
      <c r="I9" s="14">
        <f t="shared" si="0"/>
        <v>100000000</v>
      </c>
      <c r="J9" s="14">
        <f t="shared" si="0"/>
        <v>100000000</v>
      </c>
      <c r="K9" s="12">
        <v>100</v>
      </c>
      <c r="L9" s="12">
        <v>100</v>
      </c>
      <c r="M9" s="10" t="s">
        <v>250</v>
      </c>
      <c r="N9" s="10" t="s">
        <v>41</v>
      </c>
    </row>
    <row r="10" spans="1:14" x14ac:dyDescent="0.25">
      <c r="A10" s="13" t="s">
        <v>36</v>
      </c>
      <c r="B10" s="13" t="s">
        <v>175</v>
      </c>
      <c r="C10" s="13" t="s">
        <v>38</v>
      </c>
      <c r="D10" s="13" t="s">
        <v>39</v>
      </c>
      <c r="E10" s="13" t="s">
        <v>26</v>
      </c>
      <c r="F10" s="13" t="s">
        <v>27</v>
      </c>
      <c r="G10" s="13" t="s">
        <v>28</v>
      </c>
      <c r="H10" s="13" t="s">
        <v>244</v>
      </c>
      <c r="I10" s="14">
        <f t="shared" si="0"/>
        <v>1000000000</v>
      </c>
      <c r="J10" s="14">
        <f t="shared" si="0"/>
        <v>1000000000</v>
      </c>
      <c r="K10" s="15">
        <v>1000</v>
      </c>
      <c r="L10" s="15">
        <v>1000</v>
      </c>
      <c r="M10" s="13" t="s">
        <v>251</v>
      </c>
      <c r="N10" s="13" t="s">
        <v>119</v>
      </c>
    </row>
    <row r="11" spans="1:14" x14ac:dyDescent="0.25">
      <c r="A11" s="10" t="s">
        <v>36</v>
      </c>
      <c r="B11" s="10" t="s">
        <v>177</v>
      </c>
      <c r="C11" s="10" t="s">
        <v>38</v>
      </c>
      <c r="D11" s="10" t="s">
        <v>39</v>
      </c>
      <c r="E11" s="10" t="s">
        <v>31</v>
      </c>
      <c r="F11" s="10" t="s">
        <v>80</v>
      </c>
      <c r="G11" s="10" t="s">
        <v>28</v>
      </c>
      <c r="H11" s="10" t="s">
        <v>243</v>
      </c>
      <c r="I11" s="14">
        <f t="shared" si="0"/>
        <v>100000000</v>
      </c>
      <c r="J11" s="14">
        <f t="shared" si="0"/>
        <v>100000000</v>
      </c>
      <c r="K11" s="12">
        <v>100</v>
      </c>
      <c r="L11" s="12">
        <v>100</v>
      </c>
      <c r="M11" s="10" t="s">
        <v>252</v>
      </c>
      <c r="N11" s="10" t="s">
        <v>119</v>
      </c>
    </row>
    <row r="12" spans="1:14" x14ac:dyDescent="0.25">
      <c r="A12" s="13" t="s">
        <v>36</v>
      </c>
      <c r="B12" s="13" t="s">
        <v>173</v>
      </c>
      <c r="C12" s="13" t="s">
        <v>38</v>
      </c>
      <c r="D12" s="13" t="s">
        <v>39</v>
      </c>
      <c r="E12" s="13" t="s">
        <v>31</v>
      </c>
      <c r="F12" s="13" t="s">
        <v>80</v>
      </c>
      <c r="G12" s="13" t="s">
        <v>28</v>
      </c>
      <c r="H12" s="13" t="s">
        <v>243</v>
      </c>
      <c r="I12" s="14">
        <f t="shared" si="0"/>
        <v>100000000</v>
      </c>
      <c r="J12" s="14">
        <f t="shared" si="0"/>
        <v>100000000</v>
      </c>
      <c r="K12" s="15">
        <v>100</v>
      </c>
      <c r="L12" s="15">
        <v>100</v>
      </c>
      <c r="M12" s="13" t="s">
        <v>253</v>
      </c>
      <c r="N12" s="13" t="s">
        <v>63</v>
      </c>
    </row>
    <row r="13" spans="1:14" x14ac:dyDescent="0.25">
      <c r="A13" s="10" t="s">
        <v>36</v>
      </c>
      <c r="B13" s="10" t="s">
        <v>160</v>
      </c>
      <c r="C13" s="10" t="s">
        <v>38</v>
      </c>
      <c r="D13" s="10" t="s">
        <v>39</v>
      </c>
      <c r="E13" s="10" t="s">
        <v>31</v>
      </c>
      <c r="F13" s="10" t="s">
        <v>80</v>
      </c>
      <c r="G13" s="10" t="s">
        <v>28</v>
      </c>
      <c r="H13" s="10" t="s">
        <v>243</v>
      </c>
      <c r="I13" s="14">
        <f t="shared" si="0"/>
        <v>100000000</v>
      </c>
      <c r="J13" s="14">
        <f t="shared" si="0"/>
        <v>100000000</v>
      </c>
      <c r="K13" s="12">
        <v>100</v>
      </c>
      <c r="L13" s="12">
        <v>100</v>
      </c>
      <c r="M13" s="10" t="s">
        <v>254</v>
      </c>
      <c r="N13" s="10" t="s">
        <v>48</v>
      </c>
    </row>
    <row r="14" spans="1:14" x14ac:dyDescent="0.25">
      <c r="A14" s="13" t="s">
        <v>36</v>
      </c>
      <c r="B14" s="13" t="s">
        <v>208</v>
      </c>
      <c r="C14" s="13" t="s">
        <v>38</v>
      </c>
      <c r="D14" s="13" t="s">
        <v>39</v>
      </c>
      <c r="E14" s="13" t="s">
        <v>26</v>
      </c>
      <c r="F14" s="13" t="s">
        <v>27</v>
      </c>
      <c r="G14" s="13" t="s">
        <v>28</v>
      </c>
      <c r="H14" s="13" t="s">
        <v>244</v>
      </c>
      <c r="I14" s="14">
        <f>K14*1000000</f>
        <v>1000000000</v>
      </c>
      <c r="J14" s="14">
        <f>L14*1000000</f>
        <v>1000000000</v>
      </c>
      <c r="K14" s="15">
        <v>1000</v>
      </c>
      <c r="L14" s="15">
        <v>1000</v>
      </c>
      <c r="M14" s="13" t="s">
        <v>255</v>
      </c>
      <c r="N14" s="13" t="s">
        <v>63</v>
      </c>
    </row>
  </sheetData>
  <autoFilter ref="A2:N2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"/>
  <sheetViews>
    <sheetView tabSelected="1" workbookViewId="0">
      <pane ySplit="2" topLeftCell="A3" activePane="bottomLeft" state="frozen"/>
      <selection pane="bottomLeft" activeCell="H24" sqref="H24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60</v>
      </c>
      <c r="C1" s="1" t="s">
        <v>2</v>
      </c>
      <c r="D1" s="2" t="s">
        <v>256</v>
      </c>
      <c r="E1" s="1" t="s">
        <v>4</v>
      </c>
      <c r="F1" s="2" t="s">
        <v>114</v>
      </c>
      <c r="G1" s="1" t="s">
        <v>6</v>
      </c>
      <c r="H1" s="2" t="s">
        <v>115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109</v>
      </c>
      <c r="C3" s="4" t="s">
        <v>24</v>
      </c>
      <c r="D3" s="4" t="s">
        <v>117</v>
      </c>
      <c r="E3" s="4" t="s">
        <v>26</v>
      </c>
      <c r="F3" s="4" t="s">
        <v>27</v>
      </c>
      <c r="G3" s="4" t="s">
        <v>28</v>
      </c>
      <c r="H3" s="4" t="s">
        <v>110</v>
      </c>
      <c r="I3" s="5">
        <v>100000000</v>
      </c>
      <c r="J3" s="5">
        <v>100000000</v>
      </c>
      <c r="K3" s="6">
        <f t="shared" ref="K3:L10" si="0">I3/1000000</f>
        <v>100</v>
      </c>
      <c r="L3" s="6">
        <f t="shared" si="0"/>
        <v>100</v>
      </c>
      <c r="M3" s="4"/>
      <c r="N3" s="4"/>
    </row>
    <row r="4" spans="1:14" x14ac:dyDescent="0.25">
      <c r="A4" s="7" t="s">
        <v>22</v>
      </c>
      <c r="B4" s="7" t="s">
        <v>111</v>
      </c>
      <c r="C4" s="7" t="s">
        <v>24</v>
      </c>
      <c r="D4" s="7" t="s">
        <v>117</v>
      </c>
      <c r="E4" s="7" t="s">
        <v>31</v>
      </c>
      <c r="F4" s="7" t="s">
        <v>80</v>
      </c>
      <c r="G4" s="7" t="s">
        <v>28</v>
      </c>
      <c r="H4" s="7" t="s">
        <v>257</v>
      </c>
      <c r="I4" s="8">
        <v>100000000</v>
      </c>
      <c r="J4" s="8">
        <v>100000000</v>
      </c>
      <c r="K4" s="9">
        <v>10</v>
      </c>
      <c r="L4" s="9">
        <v>10</v>
      </c>
      <c r="M4" s="7"/>
      <c r="N4" s="7"/>
    </row>
    <row r="5" spans="1:14" x14ac:dyDescent="0.25">
      <c r="A5" s="10" t="s">
        <v>36</v>
      </c>
      <c r="B5" s="10" t="s">
        <v>175</v>
      </c>
      <c r="C5" s="10" t="s">
        <v>38</v>
      </c>
      <c r="D5" s="10" t="s">
        <v>39</v>
      </c>
      <c r="E5" s="10" t="s">
        <v>31</v>
      </c>
      <c r="F5" s="10" t="s">
        <v>80</v>
      </c>
      <c r="G5" s="10" t="s">
        <v>28</v>
      </c>
      <c r="H5" s="10" t="s">
        <v>257</v>
      </c>
      <c r="I5" s="11">
        <v>100000000</v>
      </c>
      <c r="J5" s="11">
        <v>100000000</v>
      </c>
      <c r="K5" s="12">
        <f t="shared" si="0"/>
        <v>100</v>
      </c>
      <c r="L5" s="12">
        <f t="shared" si="0"/>
        <v>100</v>
      </c>
      <c r="M5" s="10" t="s">
        <v>258</v>
      </c>
      <c r="N5" s="10" t="s">
        <v>119</v>
      </c>
    </row>
    <row r="6" spans="1:14" x14ac:dyDescent="0.25">
      <c r="A6" s="13" t="s">
        <v>36</v>
      </c>
      <c r="B6" s="13" t="s">
        <v>177</v>
      </c>
      <c r="C6" s="13" t="s">
        <v>38</v>
      </c>
      <c r="D6" s="13" t="s">
        <v>39</v>
      </c>
      <c r="E6" s="13" t="s">
        <v>26</v>
      </c>
      <c r="F6" s="13" t="s">
        <v>27</v>
      </c>
      <c r="G6" s="13" t="s">
        <v>28</v>
      </c>
      <c r="H6" s="13" t="s">
        <v>110</v>
      </c>
      <c r="I6" s="14">
        <v>100000000</v>
      </c>
      <c r="J6" s="14">
        <v>100000000</v>
      </c>
      <c r="K6" s="15">
        <f t="shared" si="0"/>
        <v>100</v>
      </c>
      <c r="L6" s="15">
        <f t="shared" si="0"/>
        <v>100</v>
      </c>
      <c r="M6" s="13" t="s">
        <v>259</v>
      </c>
      <c r="N6" s="13" t="s">
        <v>119</v>
      </c>
    </row>
    <row r="7" spans="1:14" x14ac:dyDescent="0.25">
      <c r="A7" s="10" t="s">
        <v>36</v>
      </c>
      <c r="B7" s="10" t="s">
        <v>76</v>
      </c>
      <c r="C7" s="10" t="s">
        <v>38</v>
      </c>
      <c r="D7" s="10" t="s">
        <v>39</v>
      </c>
      <c r="E7" s="10" t="s">
        <v>31</v>
      </c>
      <c r="F7" s="10" t="s">
        <v>80</v>
      </c>
      <c r="G7" s="10" t="s">
        <v>28</v>
      </c>
      <c r="H7" s="10" t="s">
        <v>260</v>
      </c>
      <c r="I7" s="11">
        <v>100000000</v>
      </c>
      <c r="J7" s="11">
        <v>100000000</v>
      </c>
      <c r="K7" s="12">
        <f t="shared" si="0"/>
        <v>100</v>
      </c>
      <c r="L7" s="12">
        <f t="shared" si="0"/>
        <v>100</v>
      </c>
      <c r="M7" s="10" t="s">
        <v>261</v>
      </c>
      <c r="N7" s="10" t="s">
        <v>262</v>
      </c>
    </row>
    <row r="8" spans="1:14" x14ac:dyDescent="0.25">
      <c r="A8" s="13" t="s">
        <v>36</v>
      </c>
      <c r="B8" s="13" t="s">
        <v>223</v>
      </c>
      <c r="C8" s="13" t="s">
        <v>38</v>
      </c>
      <c r="D8" s="13" t="s">
        <v>39</v>
      </c>
      <c r="E8" s="13" t="s">
        <v>26</v>
      </c>
      <c r="F8" s="13" t="s">
        <v>27</v>
      </c>
      <c r="G8" s="13" t="s">
        <v>28</v>
      </c>
      <c r="H8" s="13" t="s">
        <v>110</v>
      </c>
      <c r="I8" s="14">
        <v>100000000</v>
      </c>
      <c r="J8" s="14">
        <v>100000000</v>
      </c>
      <c r="K8" s="15">
        <f t="shared" si="0"/>
        <v>100</v>
      </c>
      <c r="L8" s="15">
        <f t="shared" si="0"/>
        <v>100</v>
      </c>
      <c r="M8" s="13" t="s">
        <v>263</v>
      </c>
      <c r="N8" s="13" t="s">
        <v>262</v>
      </c>
    </row>
    <row r="9" spans="1:14" x14ac:dyDescent="0.25">
      <c r="A9" s="10" t="s">
        <v>36</v>
      </c>
      <c r="B9" s="10" t="s">
        <v>225</v>
      </c>
      <c r="C9" s="10" t="s">
        <v>38</v>
      </c>
      <c r="D9" s="10" t="s">
        <v>39</v>
      </c>
      <c r="E9" s="10" t="s">
        <v>31</v>
      </c>
      <c r="F9" s="10" t="s">
        <v>80</v>
      </c>
      <c r="G9" s="10" t="s">
        <v>28</v>
      </c>
      <c r="H9" s="10" t="s">
        <v>260</v>
      </c>
      <c r="I9" s="11">
        <v>100000000</v>
      </c>
      <c r="J9" s="11">
        <v>100000000</v>
      </c>
      <c r="K9" s="12">
        <f t="shared" si="0"/>
        <v>100</v>
      </c>
      <c r="L9" s="12">
        <f t="shared" si="0"/>
        <v>100</v>
      </c>
      <c r="M9" s="10" t="s">
        <v>264</v>
      </c>
      <c r="N9" s="10" t="s">
        <v>78</v>
      </c>
    </row>
    <row r="10" spans="1:14" x14ac:dyDescent="0.25">
      <c r="A10" s="13" t="s">
        <v>36</v>
      </c>
      <c r="B10" s="13" t="s">
        <v>227</v>
      </c>
      <c r="C10" s="13" t="s">
        <v>38</v>
      </c>
      <c r="D10" s="13" t="s">
        <v>39</v>
      </c>
      <c r="E10" s="13" t="s">
        <v>26</v>
      </c>
      <c r="F10" s="13" t="s">
        <v>27</v>
      </c>
      <c r="G10" s="13" t="s">
        <v>28</v>
      </c>
      <c r="H10" s="13" t="s">
        <v>265</v>
      </c>
      <c r="I10" s="14">
        <v>100000000</v>
      </c>
      <c r="J10" s="14">
        <v>100000000</v>
      </c>
      <c r="K10" s="15">
        <f t="shared" si="0"/>
        <v>100</v>
      </c>
      <c r="L10" s="15">
        <f t="shared" si="0"/>
        <v>100</v>
      </c>
      <c r="M10" s="13" t="s">
        <v>266</v>
      </c>
      <c r="N10" s="13" t="s">
        <v>78</v>
      </c>
    </row>
  </sheetData>
  <autoFilter ref="A2:N2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DC - 10.1.1.1</vt:lpstr>
      <vt:lpstr>HQ - 10.0.1.1</vt:lpstr>
      <vt:lpstr>AIFP - 10.4.1.1</vt:lpstr>
      <vt:lpstr>ARL - 10.75.7.254</vt:lpstr>
      <vt:lpstr>BIFP - 10.8.1.1</vt:lpstr>
      <vt:lpstr>BP - 10.10.1.111</vt:lpstr>
      <vt:lpstr>OI - 10.18.1.254</vt:lpstr>
      <vt:lpstr>VFP - 10.26.1.1</vt:lpstr>
      <vt:lpstr>RIFP - 10.28.1.111</vt:lpstr>
      <vt:lpstr>SMT - 10.14.1.2</vt:lpstr>
      <vt:lpstr>TIFP - 10.20.1.18</vt:lpstr>
      <vt:lpstr>PFP - 10.24.10.1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Chuck Littlefield</cp:lastModifiedBy>
  <dcterms:created xsi:type="dcterms:W3CDTF">2026-04-02T20:00:02Z</dcterms:created>
  <dcterms:modified xsi:type="dcterms:W3CDTF">2026-04-15T16:59:03Z</dcterms:modified>
</cp:coreProperties>
</file>